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72" documentId="11_0EFA1A3A6E3B2F26C3603EB9680E5446AAE7FEE4" xr6:coauthVersionLast="47" xr6:coauthVersionMax="47" xr10:uidLastSave="{FA614D50-EE25-490F-98E7-6A07418558E2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Cierres'!$A$1:$S$987</definedName>
    <definedName name="_xlnm._FilterDatabase" localSheetId="0" hidden="1">'Consolidado Historico'!$A$1:$S$2650</definedName>
    <definedName name="_xlnm._FilterDatabase" localSheetId="1" hidden="1">'Consolidado Semestral'!$A$1:$S$1677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2" i="3" l="1"/>
  <c r="L442" i="3"/>
  <c r="M441" i="3"/>
  <c r="L441" i="3"/>
  <c r="M440" i="3"/>
  <c r="L440" i="3"/>
  <c r="M439" i="3"/>
  <c r="L439" i="3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49" i="2"/>
  <c r="L1649" i="2"/>
  <c r="M1648" i="2"/>
  <c r="L1648" i="2"/>
  <c r="M1647" i="2"/>
  <c r="L1647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08" i="2"/>
  <c r="L1608" i="2"/>
  <c r="M1607" i="2"/>
  <c r="L1607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8" i="2"/>
  <c r="L1558" i="2"/>
  <c r="M1557" i="2"/>
  <c r="L1557" i="2"/>
  <c r="M1556" i="2"/>
  <c r="L1556" i="2"/>
  <c r="M1554" i="2"/>
  <c r="L1554" i="2"/>
  <c r="M1553" i="2"/>
  <c r="L1553" i="2"/>
  <c r="M1550" i="2"/>
  <c r="L1550" i="2"/>
  <c r="M1549" i="2"/>
  <c r="L1549" i="2"/>
  <c r="M1548" i="2"/>
  <c r="L1548" i="2"/>
  <c r="M1547" i="2"/>
  <c r="L1547" i="2"/>
  <c r="M1546" i="2"/>
  <c r="L1546" i="2"/>
  <c r="M1544" i="2"/>
  <c r="L1544" i="2"/>
  <c r="M1543" i="2"/>
  <c r="L1543" i="2"/>
  <c r="M1542" i="2"/>
  <c r="L1542" i="2"/>
  <c r="M1541" i="2"/>
  <c r="L1541" i="2"/>
  <c r="M1540" i="2"/>
  <c r="L1540" i="2"/>
  <c r="M1539" i="2"/>
  <c r="L1539" i="2"/>
  <c r="M1537" i="2"/>
  <c r="L1537" i="2"/>
  <c r="M1536" i="2"/>
  <c r="L1536" i="2"/>
  <c r="M1535" i="2"/>
  <c r="L1535" i="2"/>
  <c r="M1534" i="2"/>
  <c r="L1534" i="2"/>
  <c r="M1533" i="2"/>
  <c r="L1533" i="2"/>
  <c r="M1531" i="2"/>
  <c r="L1531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7" i="2"/>
  <c r="L1467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6" i="2"/>
  <c r="L1276" i="2"/>
  <c r="M1275" i="2"/>
  <c r="L1275" i="2"/>
  <c r="M1274" i="2"/>
  <c r="L1274" i="2"/>
  <c r="M1272" i="2"/>
  <c r="L1272" i="2"/>
  <c r="M1271" i="2"/>
  <c r="L1271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2" i="2"/>
  <c r="L1262" i="2"/>
  <c r="M1259" i="2"/>
  <c r="L1259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0" i="2"/>
  <c r="L1240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4" i="1"/>
  <c r="L2614" i="1"/>
  <c r="M2613" i="1"/>
  <c r="L2613" i="1"/>
  <c r="M2612" i="1"/>
  <c r="L2612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0" i="1"/>
  <c r="L2490" i="1"/>
  <c r="M2489" i="1"/>
  <c r="L2489" i="1"/>
  <c r="M2488" i="1"/>
  <c r="L2488" i="1"/>
  <c r="M2487" i="1"/>
  <c r="L2487" i="1"/>
  <c r="M2486" i="1"/>
  <c r="L2486" i="1"/>
  <c r="M2476" i="1"/>
  <c r="L2476" i="1"/>
  <c r="M2475" i="1"/>
  <c r="L2475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8" i="1"/>
  <c r="L2438" i="1"/>
  <c r="M2436" i="1"/>
  <c r="L2436" i="1"/>
  <c r="M2434" i="1"/>
  <c r="L2434" i="1"/>
  <c r="M2433" i="1"/>
  <c r="L2433" i="1"/>
  <c r="M2431" i="1"/>
  <c r="L2431" i="1"/>
  <c r="M2430" i="1"/>
  <c r="L2430" i="1"/>
  <c r="M2427" i="1"/>
  <c r="L2427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2" i="1"/>
  <c r="L2282" i="1"/>
  <c r="M2281" i="1"/>
  <c r="L2281" i="1"/>
  <c r="M2280" i="1"/>
  <c r="L2280" i="1"/>
  <c r="M2279" i="1"/>
  <c r="L2279" i="1"/>
  <c r="M2278" i="1"/>
  <c r="L2278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34" i="1"/>
  <c r="L2234" i="1"/>
  <c r="M2233" i="1"/>
  <c r="L2233" i="1"/>
  <c r="M2232" i="1"/>
  <c r="L2232" i="1"/>
  <c r="M2231" i="1"/>
  <c r="L2231" i="1"/>
  <c r="M2230" i="1"/>
  <c r="L2230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1" i="1"/>
  <c r="L2041" i="1"/>
  <c r="M2040" i="1"/>
  <c r="L2040" i="1"/>
  <c r="M2039" i="1"/>
  <c r="L2039" i="1"/>
  <c r="M2038" i="1"/>
  <c r="L2038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8" i="1"/>
  <c r="L2028" i="1"/>
  <c r="M2027" i="1"/>
  <c r="L2027" i="1"/>
  <c r="M2026" i="1"/>
  <c r="L2026" i="1"/>
  <c r="M2024" i="1"/>
  <c r="L2024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04" i="1"/>
  <c r="L2004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K1876" i="1"/>
  <c r="J1876" i="1"/>
  <c r="K1875" i="1"/>
  <c r="J1875" i="1"/>
  <c r="K1874" i="1"/>
  <c r="J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0" i="1"/>
  <c r="L1760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1" i="1"/>
  <c r="L1651" i="1"/>
  <c r="M1649" i="1"/>
  <c r="L1649" i="1"/>
  <c r="M1647" i="1"/>
  <c r="L1647" i="1"/>
  <c r="M1643" i="1"/>
  <c r="L1643" i="1"/>
  <c r="M1642" i="1"/>
  <c r="L1642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4" i="1"/>
  <c r="L1624" i="1"/>
  <c r="M1623" i="1"/>
  <c r="L1623" i="1"/>
  <c r="M1622" i="1"/>
  <c r="L1622" i="1"/>
  <c r="M1621" i="1"/>
  <c r="L1621" i="1"/>
  <c r="M1619" i="1"/>
  <c r="L1619" i="1"/>
  <c r="M1618" i="1"/>
  <c r="L1618" i="1"/>
  <c r="M1617" i="1"/>
  <c r="L1617" i="1"/>
  <c r="M1616" i="1"/>
  <c r="L1616" i="1"/>
  <c r="M1615" i="1"/>
  <c r="L1615" i="1"/>
  <c r="M1612" i="1"/>
  <c r="L1612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9" i="1"/>
  <c r="L1429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4" i="1"/>
  <c r="L1404" i="1"/>
  <c r="M1399" i="1"/>
  <c r="L1399" i="1"/>
  <c r="M1398" i="1"/>
  <c r="L1398" i="1"/>
  <c r="M1397" i="1"/>
  <c r="L1397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6" i="1" l="1"/>
  <c r="M1876" i="1"/>
  <c r="M1875" i="1"/>
  <c r="L1875" i="1"/>
  <c r="M1874" i="1"/>
  <c r="L1874" i="1"/>
</calcChain>
</file>

<file path=xl/sharedStrings.xml><?xml version="1.0" encoding="utf-8"?>
<sst xmlns="http://schemas.openxmlformats.org/spreadsheetml/2006/main" count="76493" uniqueCount="4396">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</sst>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0"/>
  <sheetViews>
    <sheetView showGridLines="0" tabSelected="1" topLeftCell="A283" zoomScale="75" zoomScaleNormal="75" workbookViewId="0">
      <selection activeCell="L311" sqref="A311:XFD311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8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8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8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8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8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8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8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8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8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8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8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8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>
        <v>100</v>
      </c>
      <c r="K1248" s="9">
        <v>0</v>
      </c>
      <c r="L1248" s="14">
        <f t="shared" si="71"/>
        <v>0</v>
      </c>
      <c r="M1248" s="14">
        <f t="shared" si="72"/>
        <v>0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</row>
    <row r="1249" spans="1:18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8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8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>
        <v>100</v>
      </c>
      <c r="K1252" s="9">
        <v>0</v>
      </c>
      <c r="L1252" s="14">
        <f t="shared" si="71"/>
        <v>0</v>
      </c>
      <c r="M1252" s="14">
        <f t="shared" si="72"/>
        <v>0</v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</row>
    <row r="1253" spans="1:18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8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8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8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8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8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8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8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8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hidden="1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hidden="1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hidden="1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hidden="1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hidden="1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hidden="1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hidden="1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hidden="1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hidden="1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hidden="1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hidden="1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hidden="1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hidden="1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hidden="1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hidden="1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hidden="1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hidden="1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hidden="1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hidden="1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hidden="1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hidden="1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hidden="1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hidden="1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hidden="1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hidden="1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hidden="1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hidden="1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hidden="1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hidden="1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hidden="1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hidden="1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hidden="1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hidden="1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hidden="1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hidden="1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hidden="1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hidden="1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hidden="1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hidden="1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hidden="1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hidden="1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hidden="1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hidden="1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hidden="1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hidden="1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hidden="1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hidden="1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hidden="1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hidden="1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hidden="1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hidden="1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hidden="1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hidden="1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hidden="1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hidden="1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hidden="1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hidden="1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hidden="1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hidden="1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75" si="78">IFERROR(IF(OR(J1367=0,K1367=""),"",IF(E1367="Positivo",MIN(MAX(K1367/J1367,0),1.3),MIN(MAX(J1367/K1367,0),1.3))),"")</f>
        <v/>
      </c>
      <c r="M1367" s="14" t="str">
        <f t="shared" ref="M1367:M1375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hidden="1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hidden="1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hidden="1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hidden="1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hidden="1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hidden="1" x14ac:dyDescent="0.3">
      <c r="A1376" s="5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45016</v>
      </c>
      <c r="G1376" s="5">
        <v>2023</v>
      </c>
      <c r="H1376" s="5" t="s">
        <v>1516</v>
      </c>
      <c r="I1376" s="6" t="s">
        <v>1512</v>
      </c>
      <c r="J1376" s="5">
        <v>80</v>
      </c>
      <c r="K1376" s="5"/>
      <c r="L1376" s="14"/>
      <c r="M1376" s="14"/>
      <c r="N1376" s="5" t="s">
        <v>25</v>
      </c>
      <c r="O1376" s="5" t="s">
        <v>302</v>
      </c>
      <c r="P1376" s="5">
        <v>0</v>
      </c>
      <c r="Q1376" s="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45107</v>
      </c>
      <c r="G1377" s="5">
        <v>2023</v>
      </c>
      <c r="H1377" s="5" t="s">
        <v>699</v>
      </c>
      <c r="I1377" s="6" t="s">
        <v>1512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45199</v>
      </c>
      <c r="G1378" s="5">
        <v>2023</v>
      </c>
      <c r="H1378" s="5" t="s">
        <v>162</v>
      </c>
      <c r="I1378" s="6" t="s">
        <v>28</v>
      </c>
      <c r="J1378" s="5">
        <v>80</v>
      </c>
      <c r="K1378" s="10"/>
      <c r="L1378" s="14"/>
      <c r="M1378" s="14"/>
      <c r="N1378" s="5" t="s">
        <v>25</v>
      </c>
      <c r="O1378" s="5" t="s">
        <v>302</v>
      </c>
      <c r="P1378" s="15">
        <v>0</v>
      </c>
      <c r="Q1378" s="15">
        <v>0</v>
      </c>
      <c r="R1378" s="5" t="s">
        <v>2497</v>
      </c>
      <c r="S1378" t="s">
        <v>302</v>
      </c>
    </row>
    <row r="1379" spans="1:19" hidden="1" x14ac:dyDescent="0.3">
      <c r="A1379" s="21">
        <v>275</v>
      </c>
      <c r="B1379" s="5" t="s">
        <v>652</v>
      </c>
      <c r="C1379" s="5" t="s">
        <v>653</v>
      </c>
      <c r="D1379" s="5" t="s">
        <v>21</v>
      </c>
      <c r="E1379" s="5" t="s">
        <v>22</v>
      </c>
      <c r="F1379" s="71">
        <v>45291</v>
      </c>
      <c r="G1379" s="5">
        <v>2023</v>
      </c>
      <c r="H1379" s="5" t="s">
        <v>23</v>
      </c>
      <c r="I1379" s="6" t="s">
        <v>28</v>
      </c>
      <c r="J1379" s="5">
        <v>80</v>
      </c>
      <c r="K1379" s="12">
        <v>0</v>
      </c>
      <c r="L1379" s="14">
        <f t="shared" ref="L1379:L1395" si="80">IFERROR(IF(OR(J1379=0,K1379=""),"",IF(E1379="Positivo",MIN(MAX(K1379/J1379,0),1.3),MIN(MAX(J1379/K1379,0),1.3))),"")</f>
        <v>0</v>
      </c>
      <c r="M1379" s="14">
        <f t="shared" ref="M1379:M1395" si="81">IFERROR(IF(OR(J1379=0,K1379=""),"",IF(E1379="Positivo",MAX(K1379/J1379,0),MAX(J1379/K1379,0))),"")</f>
        <v>0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654</v>
      </c>
    </row>
    <row r="1380" spans="1:19" hidden="1" x14ac:dyDescent="0.3">
      <c r="A1380" s="26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45473</v>
      </c>
      <c r="G1380" s="5">
        <v>2024</v>
      </c>
      <c r="H1380" s="5" t="s">
        <v>699</v>
      </c>
      <c r="I1380" s="6" t="s">
        <v>729</v>
      </c>
      <c r="J1380" s="5">
        <v>80</v>
      </c>
      <c r="K1380" s="12">
        <v>103.75</v>
      </c>
      <c r="L1380" s="14">
        <f t="shared" si="80"/>
        <v>1.296875</v>
      </c>
      <c r="M1380" s="14">
        <f t="shared" si="81"/>
        <v>1.296875</v>
      </c>
      <c r="N1380" s="5" t="s">
        <v>25</v>
      </c>
      <c r="O1380" s="5" t="s">
        <v>25</v>
      </c>
      <c r="P1380" s="15">
        <v>0</v>
      </c>
      <c r="Q1380" s="15">
        <v>0</v>
      </c>
      <c r="R1380" s="5" t="s">
        <v>2498</v>
      </c>
    </row>
    <row r="1381" spans="1:19" hidden="1" x14ac:dyDescent="0.3">
      <c r="A1381" s="5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45657</v>
      </c>
      <c r="G1381" s="5">
        <v>2024</v>
      </c>
      <c r="H1381" s="5" t="s">
        <v>23</v>
      </c>
      <c r="I1381" s="6" t="s">
        <v>30</v>
      </c>
      <c r="J1381" s="5">
        <v>80</v>
      </c>
      <c r="K1381" s="5">
        <v>109.58</v>
      </c>
      <c r="L1381" s="14">
        <f t="shared" si="80"/>
        <v>1.3</v>
      </c>
      <c r="M1381" s="14">
        <f t="shared" si="81"/>
        <v>1.36975</v>
      </c>
      <c r="N1381" s="5" t="s">
        <v>25</v>
      </c>
      <c r="O1381" s="5" t="s">
        <v>25</v>
      </c>
      <c r="P1381" s="5">
        <v>0</v>
      </c>
      <c r="Q1381" s="5">
        <v>0</v>
      </c>
      <c r="R1381" s="5" t="s">
        <v>655</v>
      </c>
    </row>
    <row r="1382" spans="1:19" hidden="1" x14ac:dyDescent="0.3">
      <c r="A1382" s="21">
        <v>275</v>
      </c>
      <c r="B1382" s="5" t="s">
        <v>652</v>
      </c>
      <c r="C1382" s="5" t="s">
        <v>653</v>
      </c>
      <c r="D1382" s="5" t="s">
        <v>27</v>
      </c>
      <c r="E1382" s="5" t="s">
        <v>22</v>
      </c>
      <c r="F1382" s="71">
        <v>45838</v>
      </c>
      <c r="G1382" s="5">
        <v>2025</v>
      </c>
      <c r="H1382" s="5" t="s">
        <v>699</v>
      </c>
      <c r="I1382" s="6" t="s">
        <v>700</v>
      </c>
      <c r="J1382" s="5">
        <v>80</v>
      </c>
      <c r="K1382" s="10">
        <v>90</v>
      </c>
      <c r="L1382" s="14">
        <f t="shared" si="80"/>
        <v>1.125</v>
      </c>
      <c r="M1382" s="14">
        <f t="shared" si="81"/>
        <v>1.125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2499</v>
      </c>
    </row>
    <row r="1383" spans="1:19" hidden="1" x14ac:dyDescent="0.3">
      <c r="A1383" s="26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46022</v>
      </c>
      <c r="G1383" s="5">
        <v>2025</v>
      </c>
      <c r="H1383" s="5" t="s">
        <v>23</v>
      </c>
      <c r="I1383" s="6" t="s">
        <v>32</v>
      </c>
      <c r="J1383" s="5">
        <v>80</v>
      </c>
      <c r="K1383" s="9">
        <v>91.67</v>
      </c>
      <c r="L1383" s="14">
        <f t="shared" si="80"/>
        <v>1.145875</v>
      </c>
      <c r="M1383" s="14">
        <f t="shared" si="81"/>
        <v>1.145875</v>
      </c>
      <c r="N1383" s="5" t="s">
        <v>25</v>
      </c>
      <c r="O1383" s="5" t="s">
        <v>25</v>
      </c>
      <c r="P1383" s="15">
        <v>0</v>
      </c>
      <c r="Q1383" s="15">
        <v>0</v>
      </c>
      <c r="R1383" s="5" t="s">
        <v>656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45107</v>
      </c>
      <c r="G1384" s="5">
        <v>2023</v>
      </c>
      <c r="H1384" s="5" t="s">
        <v>699</v>
      </c>
      <c r="I1384" s="6" t="s">
        <v>1512</v>
      </c>
      <c r="J1384" s="5">
        <v>85</v>
      </c>
      <c r="K1384" s="9">
        <v>89.99</v>
      </c>
      <c r="L1384" s="14">
        <f t="shared" si="80"/>
        <v>0.94454939437715302</v>
      </c>
      <c r="M1384" s="14">
        <f t="shared" si="81"/>
        <v>0.94454939437715302</v>
      </c>
      <c r="N1384" s="5"/>
      <c r="O1384" s="5"/>
      <c r="P1384" s="15">
        <v>0</v>
      </c>
      <c r="Q1384" s="15">
        <v>0</v>
      </c>
      <c r="R1384" s="5" t="s">
        <v>2500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85</v>
      </c>
      <c r="K1385" s="9">
        <v>84.5</v>
      </c>
      <c r="L1385" s="14">
        <f t="shared" si="80"/>
        <v>1.0059171597633136</v>
      </c>
      <c r="M1385" s="14">
        <f t="shared" si="81"/>
        <v>1.0059171597633136</v>
      </c>
      <c r="N1385" s="5"/>
      <c r="O1385" s="5"/>
      <c r="P1385" s="15">
        <v>1</v>
      </c>
      <c r="Q1385" s="15">
        <v>1</v>
      </c>
      <c r="R1385" s="5" t="s">
        <v>659</v>
      </c>
    </row>
    <row r="1386" spans="1:19" hidden="1" x14ac:dyDescent="0.3">
      <c r="A1386" s="26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75</v>
      </c>
      <c r="K1386" s="9">
        <v>83.65</v>
      </c>
      <c r="L1386" s="14">
        <f t="shared" si="80"/>
        <v>0.89659294680215174</v>
      </c>
      <c r="M1386" s="14">
        <f t="shared" si="81"/>
        <v>0.89659294680215174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2501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75</v>
      </c>
      <c r="K1387" s="10">
        <v>82.68</v>
      </c>
      <c r="L1387" s="14">
        <f t="shared" si="80"/>
        <v>0.90711175616835982</v>
      </c>
      <c r="M1387" s="14">
        <f t="shared" si="81"/>
        <v>0.90711175616835982</v>
      </c>
      <c r="N1387" s="5" t="s">
        <v>136</v>
      </c>
      <c r="O1387" s="5" t="s">
        <v>136</v>
      </c>
      <c r="P1387" s="15">
        <v>0</v>
      </c>
      <c r="Q1387" s="15">
        <v>0</v>
      </c>
      <c r="R1387" s="5" t="s">
        <v>660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27</v>
      </c>
      <c r="E1388" s="5" t="s">
        <v>41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81</v>
      </c>
      <c r="K1388" s="10">
        <v>84.18</v>
      </c>
      <c r="L1388" s="14">
        <f t="shared" si="80"/>
        <v>0.96222380612972191</v>
      </c>
      <c r="M1388" s="14">
        <f t="shared" si="81"/>
        <v>0.96222380612972191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2502</v>
      </c>
    </row>
    <row r="1389" spans="1:19" hidden="1" x14ac:dyDescent="0.3">
      <c r="A1389" s="21">
        <v>276</v>
      </c>
      <c r="B1389" s="5" t="s">
        <v>657</v>
      </c>
      <c r="C1389" s="5" t="s">
        <v>658</v>
      </c>
      <c r="D1389" s="5" t="s">
        <v>21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81</v>
      </c>
      <c r="K1389" s="10">
        <v>82.81</v>
      </c>
      <c r="L1389" s="14">
        <f t="shared" si="80"/>
        <v>0.97814273638449456</v>
      </c>
      <c r="M1389" s="14">
        <f t="shared" si="81"/>
        <v>0.97814273638449456</v>
      </c>
      <c r="N1389" s="5" t="s">
        <v>128</v>
      </c>
      <c r="O1389" s="5" t="s">
        <v>136</v>
      </c>
      <c r="P1389" s="15">
        <v>0</v>
      </c>
      <c r="Q1389" s="15">
        <v>1</v>
      </c>
      <c r="R1389" s="5" t="s">
        <v>661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10">
        <v>76.48</v>
      </c>
      <c r="L1390" s="14">
        <f t="shared" si="80"/>
        <v>1.1114016736401673</v>
      </c>
      <c r="M1390" s="14">
        <f t="shared" si="81"/>
        <v>1.1114016736401673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2503</v>
      </c>
    </row>
    <row r="1391" spans="1:19" hidden="1" x14ac:dyDescent="0.3">
      <c r="A1391" s="21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10">
        <v>73.290000000000006</v>
      </c>
      <c r="L1391" s="14">
        <f t="shared" si="80"/>
        <v>1.1597762314094691</v>
      </c>
      <c r="M1391" s="14">
        <f t="shared" si="81"/>
        <v>1.1597762314094691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663</v>
      </c>
    </row>
    <row r="1392" spans="1:19" hidden="1" x14ac:dyDescent="0.3">
      <c r="A1392" s="5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73</v>
      </c>
      <c r="K1392" s="5">
        <v>71.180000000000007</v>
      </c>
      <c r="L1392" s="14">
        <f t="shared" si="80"/>
        <v>1.0255689800505758</v>
      </c>
      <c r="M1392" s="14">
        <f t="shared" si="81"/>
        <v>1.0255689800505758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73</v>
      </c>
      <c r="K1393" s="10">
        <v>71.239999999999995</v>
      </c>
      <c r="L1393" s="14">
        <f t="shared" si="80"/>
        <v>1.0247052217855139</v>
      </c>
      <c r="M1393" s="14">
        <f t="shared" si="81"/>
        <v>1.0247052217855139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664</v>
      </c>
    </row>
    <row r="1394" spans="1:19" hidden="1" x14ac:dyDescent="0.3">
      <c r="A1394" s="21">
        <v>277</v>
      </c>
      <c r="B1394" s="5" t="s">
        <v>662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71</v>
      </c>
      <c r="K1394" s="10">
        <v>69.39</v>
      </c>
      <c r="L1394" s="14">
        <f t="shared" si="80"/>
        <v>1.0232021905173656</v>
      </c>
      <c r="M1394" s="14">
        <f t="shared" si="81"/>
        <v>1.0232021905173656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2505</v>
      </c>
    </row>
    <row r="1395" spans="1:19" hidden="1" x14ac:dyDescent="0.3">
      <c r="A1395" s="21">
        <v>277</v>
      </c>
      <c r="B1395" s="5" t="s">
        <v>2506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71</v>
      </c>
      <c r="K1395" s="10">
        <v>68.400000000000006</v>
      </c>
      <c r="L1395" s="14">
        <f t="shared" si="80"/>
        <v>1.0380116959064327</v>
      </c>
      <c r="M1395" s="14">
        <f t="shared" si="81"/>
        <v>1.0380116959064327</v>
      </c>
      <c r="N1395" s="5" t="s">
        <v>128</v>
      </c>
      <c r="O1395" s="5" t="s">
        <v>136</v>
      </c>
      <c r="P1395" s="15">
        <v>1</v>
      </c>
      <c r="Q1395" s="15">
        <v>1</v>
      </c>
      <c r="R1395" s="5" t="s">
        <v>665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/>
      <c r="K1396" s="10">
        <v>1015</v>
      </c>
      <c r="L1396" s="14"/>
      <c r="M1396" s="8"/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0</v>
      </c>
      <c r="K1397" s="10">
        <v>1017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667</v>
      </c>
    </row>
    <row r="1398" spans="1:19" hidden="1" x14ac:dyDescent="0.3">
      <c r="A1398" s="21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0</v>
      </c>
      <c r="K1398" s="10">
        <v>1080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15">
        <v>0</v>
      </c>
      <c r="Q1398" s="15">
        <v>0</v>
      </c>
      <c r="R1398" s="5" t="s">
        <v>2508</v>
      </c>
    </row>
    <row r="1399" spans="1:19" hidden="1" x14ac:dyDescent="0.3">
      <c r="A1399" s="5">
        <v>278</v>
      </c>
      <c r="B1399" s="5" t="s">
        <v>666</v>
      </c>
      <c r="C1399" s="5" t="s">
        <v>658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0</v>
      </c>
      <c r="K1399" s="5">
        <v>1018</v>
      </c>
      <c r="L1399" s="14" t="str">
        <f>IFERROR(IF(OR(J1399=0,K1399=""),"",IF(E1399="Positivo",MIN(MAX(K1399/J1399,0),1.3),MIN(MAX(J1399/K1399,0),1.3))),"")</f>
        <v/>
      </c>
      <c r="M1399" s="14" t="str">
        <f>IFERROR(IF(OR(J1399=0,K1399=""),"",IF(E1399="Positivo",MAX(K1399/J1399,0),MAX(J1399/K1399,0))),"")</f>
        <v/>
      </c>
      <c r="N1399" s="5">
        <v>0</v>
      </c>
      <c r="O1399" s="5" t="s">
        <v>128</v>
      </c>
      <c r="P1399" s="5">
        <v>0</v>
      </c>
      <c r="Q1399" s="5">
        <v>0</v>
      </c>
      <c r="R1399" s="5" t="s">
        <v>668</v>
      </c>
    </row>
    <row r="1400" spans="1:19" hidden="1" x14ac:dyDescent="0.3">
      <c r="A1400" s="21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/>
      <c r="K1400" s="10">
        <v>1099</v>
      </c>
      <c r="L1400" s="14"/>
      <c r="M1400" s="14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2509</v>
      </c>
      <c r="S1400" t="s">
        <v>263</v>
      </c>
    </row>
    <row r="1401" spans="1:19" hidden="1" x14ac:dyDescent="0.3">
      <c r="A1401" s="26">
        <v>278</v>
      </c>
      <c r="B1401" s="5" t="s">
        <v>669</v>
      </c>
      <c r="C1401" s="5" t="s">
        <v>658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/>
      <c r="K1401" s="12">
        <v>1071</v>
      </c>
      <c r="L1401" s="14"/>
      <c r="M1401" s="8"/>
      <c r="N1401" s="5" t="s">
        <v>263</v>
      </c>
      <c r="O1401" s="5" t="s">
        <v>263</v>
      </c>
      <c r="P1401" s="15">
        <v>0</v>
      </c>
      <c r="Q1401" s="15">
        <v>0</v>
      </c>
      <c r="R1401" s="5" t="s">
        <v>670</v>
      </c>
      <c r="S1401" t="s">
        <v>263</v>
      </c>
    </row>
    <row r="1402" spans="1:19" hidden="1" x14ac:dyDescent="0.3">
      <c r="A1402" s="26">
        <v>279</v>
      </c>
      <c r="B1402" s="5" t="s">
        <v>671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572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1512</v>
      </c>
      <c r="J1403" s="5"/>
      <c r="K1403" s="12">
        <v>203</v>
      </c>
      <c r="L1403" s="14"/>
      <c r="M1403" s="8"/>
      <c r="N1403" s="5"/>
      <c r="O1403" s="5"/>
      <c r="P1403" s="15">
        <v>0</v>
      </c>
      <c r="Q1403" s="15">
        <v>0</v>
      </c>
      <c r="R1403" s="5" t="s">
        <v>2511</v>
      </c>
    </row>
    <row r="1404" spans="1:19" hidden="1" x14ac:dyDescent="0.3">
      <c r="A1404" s="26">
        <v>280</v>
      </c>
      <c r="B1404" s="5" t="s">
        <v>673</v>
      </c>
      <c r="C1404" s="5" t="s">
        <v>658</v>
      </c>
      <c r="D1404" s="5" t="s">
        <v>27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0</v>
      </c>
      <c r="K1404" s="12">
        <v>186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/>
      <c r="O1404" s="5"/>
      <c r="P1404" s="15">
        <v>0</v>
      </c>
      <c r="Q1404" s="15">
        <v>0</v>
      </c>
      <c r="R1404" s="5" t="s">
        <v>674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45107</v>
      </c>
      <c r="G1405" s="5">
        <v>2023</v>
      </c>
      <c r="H1405" s="5" t="s">
        <v>699</v>
      </c>
      <c r="I1405" s="6" t="s">
        <v>1512</v>
      </c>
      <c r="J1405" s="5"/>
      <c r="K1405" s="12">
        <v>240</v>
      </c>
      <c r="L1405" s="14"/>
      <c r="M1405" s="8"/>
      <c r="N1405" s="5"/>
      <c r="O1405" s="5"/>
      <c r="P1405" s="15">
        <v>0</v>
      </c>
      <c r="Q1405" s="15">
        <v>0</v>
      </c>
      <c r="R1405" s="5" t="s">
        <v>2512</v>
      </c>
    </row>
    <row r="1406" spans="1:19" hidden="1" x14ac:dyDescent="0.3">
      <c r="A1406" s="26">
        <v>281</v>
      </c>
      <c r="B1406" s="5" t="s">
        <v>675</v>
      </c>
      <c r="C1406" s="5" t="s">
        <v>658</v>
      </c>
      <c r="D1406" s="5" t="s">
        <v>27</v>
      </c>
      <c r="E1406" s="5" t="s">
        <v>22</v>
      </c>
      <c r="F1406" s="71">
        <v>45291</v>
      </c>
      <c r="G1406" s="5">
        <v>2023</v>
      </c>
      <c r="H1406" s="5" t="s">
        <v>23</v>
      </c>
      <c r="I1406" s="6" t="s">
        <v>28</v>
      </c>
      <c r="J1406" s="5"/>
      <c r="K1406" s="12">
        <v>223</v>
      </c>
      <c r="L1406" s="14"/>
      <c r="M1406" s="8"/>
      <c r="N1406" s="5"/>
      <c r="O1406" s="5"/>
      <c r="P1406" s="15">
        <v>0</v>
      </c>
      <c r="Q1406" s="15">
        <v>0</v>
      </c>
      <c r="R1406" s="5" t="s">
        <v>676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45107</v>
      </c>
      <c r="G1407" s="5">
        <v>2023</v>
      </c>
      <c r="H1407" s="5" t="s">
        <v>699</v>
      </c>
      <c r="I1407" s="6" t="s">
        <v>1512</v>
      </c>
      <c r="J1407" s="5">
        <v>96</v>
      </c>
      <c r="K1407" s="10">
        <v>97.02</v>
      </c>
      <c r="L1407" s="14">
        <f t="shared" ref="L1407:L1418" si="82">IFERROR(IF(OR(J1407=0,K1407=""),"",IF(E1407="Positivo",MIN(MAX(K1407/J1407,0),1.3),MIN(MAX(J1407/K1407,0),1.3))),"")</f>
        <v>1.0106249999999999</v>
      </c>
      <c r="M1407" s="14">
        <f t="shared" ref="M1407:M1418" si="83">IFERROR(IF(OR(J1407=0,K1407=""),"",IF(E1407="Positivo",MAX(K1407/J1407,0),MAX(J1407/K1407,0))),"")</f>
        <v>1.0106249999999999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2513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45291</v>
      </c>
      <c r="G1408" s="5">
        <v>2023</v>
      </c>
      <c r="H1408" s="5" t="s">
        <v>23</v>
      </c>
      <c r="I1408" s="6" t="s">
        <v>28</v>
      </c>
      <c r="J1408" s="5">
        <v>96</v>
      </c>
      <c r="K1408" s="10">
        <v>97.34</v>
      </c>
      <c r="L1408" s="14">
        <f t="shared" si="82"/>
        <v>1.0139583333333333</v>
      </c>
      <c r="M1408" s="14">
        <f t="shared" si="83"/>
        <v>1.0139583333333333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678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45473</v>
      </c>
      <c r="G1409" s="5">
        <v>2024</v>
      </c>
      <c r="H1409" s="5" t="s">
        <v>699</v>
      </c>
      <c r="I1409" s="6" t="s">
        <v>729</v>
      </c>
      <c r="J1409" s="5">
        <v>97</v>
      </c>
      <c r="K1409" s="10">
        <v>97.02</v>
      </c>
      <c r="L1409" s="14">
        <f t="shared" si="82"/>
        <v>1.0002061855670104</v>
      </c>
      <c r="M1409" s="14">
        <f t="shared" si="83"/>
        <v>1.0002061855670104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2514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45657</v>
      </c>
      <c r="G1410" s="5">
        <v>2024</v>
      </c>
      <c r="H1410" s="5" t="s">
        <v>23</v>
      </c>
      <c r="I1410" s="6" t="s">
        <v>30</v>
      </c>
      <c r="J1410" s="5">
        <v>97</v>
      </c>
      <c r="K1410" s="10">
        <v>96.84</v>
      </c>
      <c r="L1410" s="14">
        <f t="shared" si="82"/>
        <v>0.99835051546391751</v>
      </c>
      <c r="M1410" s="14">
        <f t="shared" si="83"/>
        <v>0.99835051546391751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679</v>
      </c>
    </row>
    <row r="1411" spans="1:18" hidden="1" x14ac:dyDescent="0.3">
      <c r="A1411" s="21">
        <v>282</v>
      </c>
      <c r="B1411" s="5" t="s">
        <v>677</v>
      </c>
      <c r="C1411" s="5" t="s">
        <v>658</v>
      </c>
      <c r="D1411" s="5" t="s">
        <v>27</v>
      </c>
      <c r="E1411" s="5" t="s">
        <v>22</v>
      </c>
      <c r="F1411" s="71">
        <v>45838</v>
      </c>
      <c r="G1411" s="5">
        <v>2025</v>
      </c>
      <c r="H1411" s="5" t="s">
        <v>699</v>
      </c>
      <c r="I1411" s="6" t="s">
        <v>700</v>
      </c>
      <c r="J1411" s="5">
        <v>97</v>
      </c>
      <c r="K1411" s="10">
        <v>97.41</v>
      </c>
      <c r="L1411" s="14">
        <f t="shared" si="82"/>
        <v>1.0042268041237112</v>
      </c>
      <c r="M1411" s="14">
        <f t="shared" si="83"/>
        <v>1.0042268041237112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2515</v>
      </c>
    </row>
    <row r="1412" spans="1:18" hidden="1" x14ac:dyDescent="0.3">
      <c r="A1412" s="5">
        <v>282</v>
      </c>
      <c r="B1412" s="5" t="s">
        <v>677</v>
      </c>
      <c r="C1412" s="5" t="s">
        <v>658</v>
      </c>
      <c r="D1412" s="5" t="s">
        <v>21</v>
      </c>
      <c r="E1412" s="5" t="s">
        <v>22</v>
      </c>
      <c r="F1412" s="71">
        <v>46022</v>
      </c>
      <c r="G1412" s="5">
        <v>2025</v>
      </c>
      <c r="H1412" s="5" t="s">
        <v>23</v>
      </c>
      <c r="I1412" s="6" t="s">
        <v>32</v>
      </c>
      <c r="J1412" s="5">
        <v>97</v>
      </c>
      <c r="K1412" s="5">
        <v>97.56</v>
      </c>
      <c r="L1412" s="14">
        <f t="shared" si="82"/>
        <v>1.0057731958762888</v>
      </c>
      <c r="M1412" s="14">
        <f t="shared" si="83"/>
        <v>1.0057731958762888</v>
      </c>
      <c r="N1412" s="5" t="s">
        <v>25</v>
      </c>
      <c r="O1412" s="5" t="s">
        <v>25</v>
      </c>
      <c r="P1412" s="15">
        <v>0</v>
      </c>
      <c r="Q1412" s="15">
        <v>0</v>
      </c>
      <c r="R1412" s="5" t="s">
        <v>680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4.5</v>
      </c>
      <c r="K1413" s="10">
        <v>4.5999999999999996</v>
      </c>
      <c r="L1413" s="14">
        <f t="shared" si="82"/>
        <v>1.0222222222222221</v>
      </c>
      <c r="M1413" s="14">
        <f t="shared" si="83"/>
        <v>1.0222222222222221</v>
      </c>
      <c r="N1413" s="5" t="s">
        <v>25</v>
      </c>
      <c r="O1413" s="5" t="s">
        <v>25</v>
      </c>
      <c r="P1413" s="15">
        <v>2</v>
      </c>
      <c r="Q1413" s="15">
        <v>2</v>
      </c>
      <c r="R1413" s="5" t="s">
        <v>2516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4.5</v>
      </c>
      <c r="K1414" s="10">
        <v>4.55</v>
      </c>
      <c r="L1414" s="14">
        <f t="shared" si="82"/>
        <v>1.0111111111111111</v>
      </c>
      <c r="M1414" s="14">
        <f t="shared" si="83"/>
        <v>1.0111111111111111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682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4.5</v>
      </c>
      <c r="K1415" s="10">
        <v>4.57</v>
      </c>
      <c r="L1415" s="14">
        <f t="shared" si="82"/>
        <v>1.0155555555555555</v>
      </c>
      <c r="M1415" s="14">
        <f t="shared" si="83"/>
        <v>1.0155555555555555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2517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4.5</v>
      </c>
      <c r="K1416" s="10">
        <v>4.6399999999999997</v>
      </c>
      <c r="L1416" s="14">
        <f t="shared" si="82"/>
        <v>1.0311111111111111</v>
      </c>
      <c r="M1416" s="14">
        <f t="shared" si="83"/>
        <v>1.0311111111111111</v>
      </c>
      <c r="N1416" s="5" t="s">
        <v>136</v>
      </c>
      <c r="O1416" s="5" t="s">
        <v>136</v>
      </c>
      <c r="P1416" s="15">
        <v>2</v>
      </c>
      <c r="Q1416" s="15">
        <v>2</v>
      </c>
      <c r="R1416" s="5" t="s">
        <v>683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4.5999999999999996</v>
      </c>
      <c r="K1417" s="10">
        <v>4.66</v>
      </c>
      <c r="L1417" s="14">
        <f t="shared" si="82"/>
        <v>1.0130434782608697</v>
      </c>
      <c r="M1417" s="14">
        <f t="shared" si="83"/>
        <v>1.0130434782608697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2518</v>
      </c>
    </row>
    <row r="1418" spans="1:18" hidden="1" x14ac:dyDescent="0.3">
      <c r="A1418" s="21">
        <v>283</v>
      </c>
      <c r="B1418" s="5" t="s">
        <v>681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4.5999999999999996</v>
      </c>
      <c r="K1418" s="10">
        <v>4.67</v>
      </c>
      <c r="L1418" s="14">
        <f t="shared" si="82"/>
        <v>1.0152173913043478</v>
      </c>
      <c r="M1418" s="14">
        <f t="shared" si="83"/>
        <v>1.0152173913043478</v>
      </c>
      <c r="N1418" s="5" t="s">
        <v>136</v>
      </c>
      <c r="O1418" s="5" t="s">
        <v>136</v>
      </c>
      <c r="P1418" s="15">
        <v>1</v>
      </c>
      <c r="Q1418" s="15">
        <v>2</v>
      </c>
      <c r="R1418" s="5" t="s">
        <v>684</v>
      </c>
    </row>
    <row r="1419" spans="1:18" hidden="1" x14ac:dyDescent="0.3">
      <c r="A1419" s="21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/>
      <c r="K1419" s="9">
        <v>15047</v>
      </c>
      <c r="L1419" s="14"/>
      <c r="M1419" s="14"/>
      <c r="N1419" s="5" t="s">
        <v>136</v>
      </c>
      <c r="O1419" s="5" t="s">
        <v>136</v>
      </c>
      <c r="P1419" s="15">
        <v>0</v>
      </c>
      <c r="Q1419" s="15">
        <v>0</v>
      </c>
      <c r="R1419" s="5" t="s">
        <v>2519</v>
      </c>
    </row>
    <row r="1420" spans="1:18" hidden="1" x14ac:dyDescent="0.3">
      <c r="A1420" s="5">
        <v>284</v>
      </c>
      <c r="B1420" s="5" t="s">
        <v>685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/>
      <c r="K1420" s="5">
        <v>16281</v>
      </c>
      <c r="L1420" s="14"/>
      <c r="M1420" s="14"/>
      <c r="N1420" s="5" t="s">
        <v>136</v>
      </c>
      <c r="O1420" s="5" t="s">
        <v>136</v>
      </c>
      <c r="P1420" s="5">
        <v>0</v>
      </c>
      <c r="Q1420" s="5">
        <v>0</v>
      </c>
      <c r="R1420" s="5" t="s">
        <v>686</v>
      </c>
    </row>
    <row r="1421" spans="1:18" hidden="1" x14ac:dyDescent="0.3">
      <c r="A1421" s="21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699</v>
      </c>
      <c r="I1421" s="6" t="s">
        <v>1512</v>
      </c>
      <c r="J1421" s="5">
        <v>100</v>
      </c>
      <c r="K1421" s="10">
        <v>100</v>
      </c>
      <c r="L1421" s="14">
        <f t="shared" ref="L1421:L1426" si="84">IFERROR(IF(OR(J1421=0,K1421=""),"",IF(E1421="Positivo",MIN(MAX(K1421/J1421,0),1.3),MIN(MAX(J1421/K1421,0),1.3))),"")</f>
        <v>1</v>
      </c>
      <c r="M1421" s="14">
        <f t="shared" ref="M1421:M1426" si="85">IFERROR(IF(OR(J1421=0,K1421=""),"",IF(E1421="Positivo",MAX(K1421/J1421,0),MAX(J1421/K1421,0))),"")</f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2520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688</v>
      </c>
    </row>
    <row r="1423" spans="1:18" hidden="1" x14ac:dyDescent="0.3">
      <c r="A1423" s="26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699</v>
      </c>
      <c r="I1423" s="6" t="s">
        <v>729</v>
      </c>
      <c r="J1423" s="5">
        <v>100</v>
      </c>
      <c r="K1423" s="9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15">
        <v>0</v>
      </c>
      <c r="R1423" s="5" t="s">
        <v>2521</v>
      </c>
    </row>
    <row r="1424" spans="1:18" hidden="1" x14ac:dyDescent="0.3">
      <c r="A1424" s="5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100</v>
      </c>
      <c r="K1424" s="5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5">
        <v>0</v>
      </c>
      <c r="R1424" s="5" t="s">
        <v>689</v>
      </c>
    </row>
    <row r="1425" spans="1:19" hidden="1" x14ac:dyDescent="0.3">
      <c r="A1425" s="21">
        <v>285</v>
      </c>
      <c r="B1425" s="5" t="s">
        <v>687</v>
      </c>
      <c r="C1425" s="5" t="s">
        <v>658</v>
      </c>
      <c r="D1425" s="5" t="s">
        <v>27</v>
      </c>
      <c r="E1425" s="5" t="s">
        <v>22</v>
      </c>
      <c r="F1425" s="71">
        <v>45838</v>
      </c>
      <c r="G1425" s="5">
        <v>2025</v>
      </c>
      <c r="H1425" s="5" t="s">
        <v>699</v>
      </c>
      <c r="I1425" s="6" t="s">
        <v>700</v>
      </c>
      <c r="J1425" s="5">
        <v>100</v>
      </c>
      <c r="K1425" s="10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2522</v>
      </c>
    </row>
    <row r="1426" spans="1:19" hidden="1" x14ac:dyDescent="0.3">
      <c r="A1426" s="26">
        <v>285</v>
      </c>
      <c r="B1426" s="5" t="s">
        <v>687</v>
      </c>
      <c r="C1426" s="5" t="s">
        <v>658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32</v>
      </c>
      <c r="J1426" s="5">
        <v>100</v>
      </c>
      <c r="K1426" s="9">
        <v>100</v>
      </c>
      <c r="L1426" s="14">
        <f t="shared" si="84"/>
        <v>1</v>
      </c>
      <c r="M1426" s="14">
        <f t="shared" si="85"/>
        <v>1</v>
      </c>
      <c r="N1426" s="5" t="s">
        <v>25</v>
      </c>
      <c r="O1426" s="5" t="s">
        <v>25</v>
      </c>
      <c r="P1426" s="15">
        <v>0</v>
      </c>
      <c r="Q1426" s="15">
        <v>0</v>
      </c>
      <c r="R1426" s="5" t="s">
        <v>690</v>
      </c>
    </row>
    <row r="1427" spans="1:19" hidden="1" x14ac:dyDescent="0.3">
      <c r="A1427" s="5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/>
      <c r="K1427" s="5">
        <v>1015</v>
      </c>
      <c r="L1427" s="14"/>
      <c r="M1427" s="14"/>
      <c r="N1427" s="5" t="s">
        <v>25</v>
      </c>
      <c r="O1427" s="5" t="s">
        <v>25</v>
      </c>
      <c r="P1427" s="15">
        <v>0</v>
      </c>
      <c r="Q1427" s="5">
        <v>0</v>
      </c>
      <c r="R1427" s="5" t="s">
        <v>2523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/>
      <c r="K1428" s="10">
        <v>1017</v>
      </c>
      <c r="L1428" s="14"/>
      <c r="M1428" s="14"/>
      <c r="N1428" s="5" t="s">
        <v>25</v>
      </c>
      <c r="O1428" s="5" t="s">
        <v>25</v>
      </c>
      <c r="P1428" s="15">
        <v>0</v>
      </c>
      <c r="Q1428" s="15">
        <v>0</v>
      </c>
      <c r="R1428" s="5" t="s">
        <v>692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0</v>
      </c>
      <c r="K1429" s="10">
        <v>1080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2524</v>
      </c>
    </row>
    <row r="1430" spans="1:19" hidden="1" x14ac:dyDescent="0.3">
      <c r="A1430" s="21">
        <v>286</v>
      </c>
      <c r="B1430" s="5" t="s">
        <v>691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0</v>
      </c>
      <c r="K1430" s="10">
        <v>1018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>
        <v>0</v>
      </c>
      <c r="O1430" s="11" t="s">
        <v>128</v>
      </c>
      <c r="P1430" s="15">
        <v>0</v>
      </c>
      <c r="Q1430" s="15">
        <v>0</v>
      </c>
      <c r="R1430" s="5" t="s">
        <v>693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/>
      <c r="K1431" s="10">
        <v>1099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2525</v>
      </c>
      <c r="S1431" t="s">
        <v>263</v>
      </c>
    </row>
    <row r="1432" spans="1:19" hidden="1" x14ac:dyDescent="0.3">
      <c r="A1432" s="21">
        <v>286</v>
      </c>
      <c r="B1432" s="5" t="s">
        <v>694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/>
      <c r="K1432" s="10">
        <v>1071</v>
      </c>
      <c r="L1432" s="14"/>
      <c r="M1432" s="14"/>
      <c r="N1432" s="5" t="s">
        <v>263</v>
      </c>
      <c r="O1432" s="11" t="s">
        <v>263</v>
      </c>
      <c r="P1432" s="15">
        <v>0</v>
      </c>
      <c r="Q1432" s="15">
        <v>0</v>
      </c>
      <c r="R1432" s="5" t="s">
        <v>695</v>
      </c>
      <c r="S1432" t="s">
        <v>263</v>
      </c>
    </row>
    <row r="1433" spans="1:19" hidden="1" x14ac:dyDescent="0.3">
      <c r="A1433" s="21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>
        <v>85</v>
      </c>
      <c r="K1433" s="10">
        <v>112.5</v>
      </c>
      <c r="L1433" s="14">
        <f t="shared" ref="L1433:L1464" si="86">IFERROR(IF(OR(J1433=0,K1433=""),"",IF(E1433="Positivo",MIN(MAX(K1433/J1433,0),1.3),MIN(MAX(J1433/K1433,0),1.3))),"")</f>
        <v>1.3</v>
      </c>
      <c r="M1433" s="14">
        <f t="shared" ref="M1433:M1464" si="87">IFERROR(IF(OR(J1433=0,K1433=""),"",IF(E1433="Positivo",MAX(K1433/J1433,0),MAX(J1433/K1433,0))),"")</f>
        <v>1.3235294117647058</v>
      </c>
      <c r="N1433" s="5">
        <v>0</v>
      </c>
      <c r="O1433" s="11" t="s">
        <v>128</v>
      </c>
      <c r="P1433" s="15">
        <v>0</v>
      </c>
      <c r="Q1433" s="15">
        <v>0</v>
      </c>
      <c r="R1433" s="5" t="s">
        <v>2526</v>
      </c>
    </row>
    <row r="1434" spans="1:19" hidden="1" x14ac:dyDescent="0.3">
      <c r="A1434" s="5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85</v>
      </c>
      <c r="K1434" s="5">
        <v>112.5</v>
      </c>
      <c r="L1434" s="14">
        <f t="shared" si="86"/>
        <v>1.3</v>
      </c>
      <c r="M1434" s="14">
        <f t="shared" si="87"/>
        <v>1.3235294117647058</v>
      </c>
      <c r="N1434" s="5">
        <v>0</v>
      </c>
      <c r="O1434" s="11" t="s">
        <v>128</v>
      </c>
      <c r="P1434" s="5">
        <v>0</v>
      </c>
      <c r="Q1434" s="5">
        <v>0</v>
      </c>
      <c r="R1434" s="5" t="s">
        <v>697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85</v>
      </c>
      <c r="K1435" s="10">
        <v>185.71428571429001</v>
      </c>
      <c r="L1435" s="14">
        <f t="shared" si="86"/>
        <v>1.3</v>
      </c>
      <c r="M1435" s="14">
        <f t="shared" si="87"/>
        <v>2.1848739495798823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2527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85</v>
      </c>
      <c r="K1436" s="10">
        <v>0</v>
      </c>
      <c r="L1436" s="14">
        <f t="shared" si="86"/>
        <v>0</v>
      </c>
      <c r="M1436" s="14">
        <f t="shared" si="87"/>
        <v>0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698</v>
      </c>
    </row>
    <row r="1437" spans="1:19" hidden="1" x14ac:dyDescent="0.3">
      <c r="A1437" s="21">
        <v>288</v>
      </c>
      <c r="B1437" s="5" t="s">
        <v>696</v>
      </c>
      <c r="C1437" s="5" t="s">
        <v>658</v>
      </c>
      <c r="D1437" s="5" t="s">
        <v>71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100</v>
      </c>
      <c r="K1437" s="10">
        <v>100</v>
      </c>
      <c r="L1437" s="14">
        <f t="shared" si="86"/>
        <v>1</v>
      </c>
      <c r="M1437" s="14">
        <f t="shared" si="87"/>
        <v>1</v>
      </c>
      <c r="N1437" s="5" t="s">
        <v>128</v>
      </c>
      <c r="O1437" s="11" t="s">
        <v>128</v>
      </c>
      <c r="P1437" s="15">
        <v>0</v>
      </c>
      <c r="Q1437" s="15">
        <v>0</v>
      </c>
      <c r="R1437" s="5" t="s">
        <v>701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45107</v>
      </c>
      <c r="G1438" s="5">
        <v>2023</v>
      </c>
      <c r="H1438" s="5" t="s">
        <v>699</v>
      </c>
      <c r="I1438" s="6" t="s">
        <v>1512</v>
      </c>
      <c r="J1438" s="5">
        <v>95</v>
      </c>
      <c r="K1438" s="10">
        <v>85.714285714286007</v>
      </c>
      <c r="L1438" s="14">
        <f t="shared" si="86"/>
        <v>0.90225563909774742</v>
      </c>
      <c r="M1438" s="14">
        <f t="shared" si="87"/>
        <v>0.90225563909774742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45199</v>
      </c>
      <c r="G1439" s="5">
        <v>2023</v>
      </c>
      <c r="H1439" s="5" t="s">
        <v>162</v>
      </c>
      <c r="I1439" s="6" t="s">
        <v>28</v>
      </c>
      <c r="J1439" s="5">
        <v>95</v>
      </c>
      <c r="K1439" s="10">
        <v>87.5</v>
      </c>
      <c r="L1439" s="14">
        <f t="shared" si="86"/>
        <v>0.92105263157894735</v>
      </c>
      <c r="M1439" s="14">
        <f t="shared" si="87"/>
        <v>0.92105263157894735</v>
      </c>
      <c r="N1439" s="5" t="s">
        <v>25</v>
      </c>
      <c r="O1439" s="11" t="s">
        <v>25</v>
      </c>
      <c r="P1439" s="15">
        <v>1</v>
      </c>
      <c r="Q1439" s="15">
        <v>1</v>
      </c>
      <c r="R1439" s="5" t="s">
        <v>2529</v>
      </c>
    </row>
    <row r="1440" spans="1:19" hidden="1" x14ac:dyDescent="0.3">
      <c r="A1440" s="21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45473</v>
      </c>
      <c r="G1440" s="5">
        <v>2024</v>
      </c>
      <c r="H1440" s="5" t="s">
        <v>699</v>
      </c>
      <c r="I1440" s="6" t="s">
        <v>729</v>
      </c>
      <c r="J1440" s="5">
        <v>95</v>
      </c>
      <c r="K1440" s="10">
        <v>100</v>
      </c>
      <c r="L1440" s="14">
        <f t="shared" si="86"/>
        <v>1.0526315789473684</v>
      </c>
      <c r="M1440" s="14">
        <f t="shared" si="87"/>
        <v>1.0526315789473684</v>
      </c>
      <c r="N1440" s="5" t="s">
        <v>25</v>
      </c>
      <c r="O1440" s="11" t="s">
        <v>25</v>
      </c>
      <c r="P1440" s="15">
        <v>0</v>
      </c>
      <c r="Q1440" s="15">
        <v>0</v>
      </c>
      <c r="R1440" s="5" t="s">
        <v>2530</v>
      </c>
    </row>
    <row r="1441" spans="1:18" hidden="1" x14ac:dyDescent="0.3">
      <c r="A1441" s="5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45565</v>
      </c>
      <c r="G1441" s="5">
        <v>2024</v>
      </c>
      <c r="H1441" s="5" t="s">
        <v>162</v>
      </c>
      <c r="I1441" s="6" t="s">
        <v>30</v>
      </c>
      <c r="J1441" s="5">
        <v>95</v>
      </c>
      <c r="K1441" s="5">
        <v>80</v>
      </c>
      <c r="L1441" s="14">
        <f t="shared" si="86"/>
        <v>0.84210526315789469</v>
      </c>
      <c r="M1441" s="14">
        <f t="shared" si="87"/>
        <v>0.84210526315789469</v>
      </c>
      <c r="N1441" s="5" t="s">
        <v>25</v>
      </c>
      <c r="O1441" s="5" t="s">
        <v>25</v>
      </c>
      <c r="P1441" s="5">
        <v>0</v>
      </c>
      <c r="Q1441" s="5">
        <v>0</v>
      </c>
      <c r="R1441" s="5" t="s">
        <v>2531</v>
      </c>
    </row>
    <row r="1442" spans="1:18" hidden="1" x14ac:dyDescent="0.3">
      <c r="A1442" s="21">
        <v>289</v>
      </c>
      <c r="B1442" s="5" t="s">
        <v>702</v>
      </c>
      <c r="C1442" s="5" t="s">
        <v>198</v>
      </c>
      <c r="D1442" s="5" t="s">
        <v>21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95</v>
      </c>
      <c r="K1442" s="10">
        <v>100</v>
      </c>
      <c r="L1442" s="14">
        <f t="shared" si="86"/>
        <v>1.0526315789473684</v>
      </c>
      <c r="M1442" s="14">
        <f t="shared" si="87"/>
        <v>1.0526315789473684</v>
      </c>
      <c r="N1442" s="5" t="s">
        <v>25</v>
      </c>
      <c r="O1442" s="5" t="s">
        <v>25</v>
      </c>
      <c r="P1442" s="15">
        <v>0</v>
      </c>
      <c r="Q1442" s="15">
        <v>0</v>
      </c>
      <c r="R1442" s="5" t="s">
        <v>704</v>
      </c>
    </row>
    <row r="1443" spans="1:18" hidden="1" x14ac:dyDescent="0.3">
      <c r="A1443" s="5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45107</v>
      </c>
      <c r="G1443" s="5">
        <v>2023</v>
      </c>
      <c r="H1443" s="5" t="s">
        <v>699</v>
      </c>
      <c r="I1443" s="6" t="s">
        <v>1512</v>
      </c>
      <c r="J1443" s="5">
        <v>90</v>
      </c>
      <c r="K1443" s="5">
        <v>100</v>
      </c>
      <c r="L1443" s="14">
        <f t="shared" si="86"/>
        <v>1.1111111111111112</v>
      </c>
      <c r="M1443" s="14">
        <f t="shared" si="87"/>
        <v>1.1111111111111112</v>
      </c>
      <c r="N1443" s="5" t="s">
        <v>25</v>
      </c>
      <c r="O1443" s="5" t="s">
        <v>25</v>
      </c>
      <c r="P1443" s="5">
        <v>0</v>
      </c>
      <c r="Q1443" s="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45168</v>
      </c>
      <c r="G1444" s="5">
        <v>2023</v>
      </c>
      <c r="H1444" s="5" t="s">
        <v>1546</v>
      </c>
      <c r="I1444" s="6" t="s">
        <v>28</v>
      </c>
      <c r="J1444" s="5">
        <v>90</v>
      </c>
      <c r="K1444" s="10">
        <v>81.819999999999993</v>
      </c>
      <c r="L1444" s="14">
        <f t="shared" si="86"/>
        <v>0.90911111111111098</v>
      </c>
      <c r="M1444" s="14">
        <f t="shared" si="87"/>
        <v>0.90911111111111098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21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45230</v>
      </c>
      <c r="G1445" s="5">
        <v>2023</v>
      </c>
      <c r="H1445" s="5" t="s">
        <v>150</v>
      </c>
      <c r="I1445" s="6" t="s">
        <v>28</v>
      </c>
      <c r="J1445" s="5">
        <v>90</v>
      </c>
      <c r="K1445" s="10">
        <v>90.91</v>
      </c>
      <c r="L1445" s="14">
        <f t="shared" si="86"/>
        <v>1.0101111111111112</v>
      </c>
      <c r="M1445" s="14">
        <f t="shared" si="87"/>
        <v>1.0101111111111112</v>
      </c>
      <c r="N1445" s="5" t="s">
        <v>25</v>
      </c>
      <c r="O1445" s="5" t="s">
        <v>25</v>
      </c>
      <c r="P1445" s="15">
        <v>0</v>
      </c>
      <c r="Q1445" s="15">
        <v>0</v>
      </c>
      <c r="R1445" s="5" t="s">
        <v>2534</v>
      </c>
    </row>
    <row r="1446" spans="1:18" hidden="1" x14ac:dyDescent="0.3">
      <c r="A1446" s="5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>
        <v>90</v>
      </c>
      <c r="K1446" s="5">
        <v>80</v>
      </c>
      <c r="L1446" s="14">
        <f t="shared" si="86"/>
        <v>0.88888888888888884</v>
      </c>
      <c r="M1446" s="14">
        <f t="shared" si="87"/>
        <v>0.88888888888888884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707</v>
      </c>
    </row>
    <row r="1447" spans="1:18" hidden="1" x14ac:dyDescent="0.3">
      <c r="A1447" s="21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45351</v>
      </c>
      <c r="G1447" s="5">
        <v>2024</v>
      </c>
      <c r="H1447" s="5" t="s">
        <v>210</v>
      </c>
      <c r="I1447" s="6" t="s">
        <v>729</v>
      </c>
      <c r="J1447" s="5">
        <v>90</v>
      </c>
      <c r="K1447" s="10">
        <v>91.666666666666998</v>
      </c>
      <c r="L1447" s="14">
        <f t="shared" si="86"/>
        <v>1.0185185185185222</v>
      </c>
      <c r="M1447" s="14">
        <f t="shared" si="87"/>
        <v>1.0185185185185222</v>
      </c>
      <c r="N1447" s="5"/>
      <c r="O1447" s="5"/>
      <c r="P1447" s="15">
        <v>0</v>
      </c>
      <c r="Q1447" s="15">
        <v>0</v>
      </c>
      <c r="R1447" s="5" t="s">
        <v>2535</v>
      </c>
    </row>
    <row r="1448" spans="1:18" hidden="1" x14ac:dyDescent="0.3">
      <c r="A1448" s="5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45412</v>
      </c>
      <c r="G1448" s="5">
        <v>2024</v>
      </c>
      <c r="H1448" s="5" t="s">
        <v>1540</v>
      </c>
      <c r="I1448" s="6" t="s">
        <v>729</v>
      </c>
      <c r="J1448" s="5">
        <v>90</v>
      </c>
      <c r="K1448" s="5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5">
        <v>0</v>
      </c>
      <c r="Q1448" s="5">
        <v>0</v>
      </c>
      <c r="R1448" s="5" t="s">
        <v>2536</v>
      </c>
    </row>
    <row r="1449" spans="1:18" hidden="1" x14ac:dyDescent="0.3">
      <c r="A1449" s="21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90</v>
      </c>
      <c r="K1449" s="10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15">
        <v>0</v>
      </c>
      <c r="Q1449" s="15">
        <v>0</v>
      </c>
      <c r="R1449" s="5" t="s">
        <v>2537</v>
      </c>
    </row>
    <row r="1450" spans="1:18" hidden="1" x14ac:dyDescent="0.3">
      <c r="A1450" s="5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45535</v>
      </c>
      <c r="G1450" s="5">
        <v>2024</v>
      </c>
      <c r="H1450" s="5" t="s">
        <v>1546</v>
      </c>
      <c r="I1450" s="6" t="s">
        <v>30</v>
      </c>
      <c r="J1450" s="5">
        <v>90</v>
      </c>
      <c r="K1450" s="5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5">
        <v>0</v>
      </c>
      <c r="Q1450" s="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45596</v>
      </c>
      <c r="G1451" s="5">
        <v>2024</v>
      </c>
      <c r="H1451" s="5" t="s">
        <v>150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2539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45657</v>
      </c>
      <c r="G1452" s="5">
        <v>2024</v>
      </c>
      <c r="H1452" s="5" t="s">
        <v>23</v>
      </c>
      <c r="I1452" s="6" t="s">
        <v>30</v>
      </c>
      <c r="J1452" s="5">
        <v>90</v>
      </c>
      <c r="K1452" s="10">
        <v>100</v>
      </c>
      <c r="L1452" s="14">
        <f t="shared" si="86"/>
        <v>1.1111111111111112</v>
      </c>
      <c r="M1452" s="14">
        <f t="shared" si="87"/>
        <v>1.1111111111111112</v>
      </c>
      <c r="N1452" s="5"/>
      <c r="O1452" s="5"/>
      <c r="P1452" s="15">
        <v>0</v>
      </c>
      <c r="Q1452" s="15">
        <v>0</v>
      </c>
      <c r="R1452" s="5" t="s">
        <v>708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45716</v>
      </c>
      <c r="G1453" s="5">
        <v>2025</v>
      </c>
      <c r="H1453" s="5" t="s">
        <v>210</v>
      </c>
      <c r="I1453" s="6" t="s">
        <v>700</v>
      </c>
      <c r="J1453" s="5">
        <v>90</v>
      </c>
      <c r="K1453" s="10">
        <v>80</v>
      </c>
      <c r="L1453" s="14">
        <f t="shared" si="86"/>
        <v>0.88888888888888884</v>
      </c>
      <c r="M1453" s="14">
        <f t="shared" si="87"/>
        <v>0.88888888888888884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21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45777</v>
      </c>
      <c r="G1454" s="5">
        <v>2025</v>
      </c>
      <c r="H1454" s="5" t="s">
        <v>1540</v>
      </c>
      <c r="I1454" s="6" t="s">
        <v>700</v>
      </c>
      <c r="J1454" s="5">
        <v>90</v>
      </c>
      <c r="K1454" s="10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15">
        <v>0</v>
      </c>
      <c r="Q1454" s="15">
        <v>0</v>
      </c>
      <c r="R1454" s="5" t="s">
        <v>2541</v>
      </c>
    </row>
    <row r="1455" spans="1:18" hidden="1" x14ac:dyDescent="0.3">
      <c r="A1455" s="5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45838</v>
      </c>
      <c r="G1455" s="5">
        <v>2025</v>
      </c>
      <c r="H1455" s="5" t="s">
        <v>699</v>
      </c>
      <c r="I1455" s="6" t="s">
        <v>700</v>
      </c>
      <c r="J1455" s="5">
        <v>90</v>
      </c>
      <c r="K1455" s="5">
        <v>100</v>
      </c>
      <c r="L1455" s="14">
        <f t="shared" si="86"/>
        <v>1.1111111111111112</v>
      </c>
      <c r="M1455" s="14">
        <f t="shared" si="87"/>
        <v>1.1111111111111112</v>
      </c>
      <c r="N1455" s="5" t="s">
        <v>25</v>
      </c>
      <c r="O1455" s="5" t="s">
        <v>25</v>
      </c>
      <c r="P1455" s="5">
        <v>0</v>
      </c>
      <c r="Q1455" s="5">
        <v>0</v>
      </c>
      <c r="R1455" s="5" t="s">
        <v>709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45107</v>
      </c>
      <c r="G1456" s="5">
        <v>2023</v>
      </c>
      <c r="H1456" s="5" t="s">
        <v>699</v>
      </c>
      <c r="I1456" s="6" t="s">
        <v>1512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2542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45291</v>
      </c>
      <c r="G1457" s="5">
        <v>2023</v>
      </c>
      <c r="H1457" s="5" t="s">
        <v>23</v>
      </c>
      <c r="I1457" s="6" t="s">
        <v>28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712</v>
      </c>
    </row>
    <row r="1458" spans="1:18" hidden="1" x14ac:dyDescent="0.3">
      <c r="A1458" s="21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45473</v>
      </c>
      <c r="G1458" s="5">
        <v>2024</v>
      </c>
      <c r="H1458" s="5" t="s">
        <v>699</v>
      </c>
      <c r="I1458" s="6" t="s">
        <v>729</v>
      </c>
      <c r="J1458" s="5">
        <v>100</v>
      </c>
      <c r="K1458" s="10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15">
        <v>0</v>
      </c>
      <c r="Q1458" s="15">
        <v>0</v>
      </c>
      <c r="R1458" s="5" t="s">
        <v>2543</v>
      </c>
    </row>
    <row r="1459" spans="1:18" hidden="1" x14ac:dyDescent="0.3">
      <c r="A1459" s="5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71">
        <v>45657</v>
      </c>
      <c r="G1459" s="5">
        <v>2024</v>
      </c>
      <c r="H1459" s="5" t="s">
        <v>23</v>
      </c>
      <c r="I1459" s="6" t="s">
        <v>30</v>
      </c>
      <c r="J1459" s="5">
        <v>100</v>
      </c>
      <c r="K1459" s="5">
        <v>100</v>
      </c>
      <c r="L1459" s="14">
        <f t="shared" si="86"/>
        <v>1</v>
      </c>
      <c r="M1459" s="14">
        <f t="shared" si="87"/>
        <v>1</v>
      </c>
      <c r="N1459" s="5" t="s">
        <v>25</v>
      </c>
      <c r="O1459" s="5" t="s">
        <v>25</v>
      </c>
      <c r="P1459" s="5">
        <v>0</v>
      </c>
      <c r="Q1459" s="5">
        <v>0</v>
      </c>
      <c r="R1459" s="5" t="s">
        <v>713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45107</v>
      </c>
      <c r="G1460" s="5">
        <v>2023</v>
      </c>
      <c r="H1460" s="5" t="s">
        <v>699</v>
      </c>
      <c r="I1460" s="6" t="s">
        <v>1512</v>
      </c>
      <c r="J1460" s="5">
        <v>3</v>
      </c>
      <c r="K1460" s="10">
        <v>10.990099009901</v>
      </c>
      <c r="L1460" s="14">
        <f t="shared" si="86"/>
        <v>1.3</v>
      </c>
      <c r="M1460" s="14">
        <f t="shared" si="87"/>
        <v>3.6633663366336666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2544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45291</v>
      </c>
      <c r="G1461" s="5">
        <v>2023</v>
      </c>
      <c r="H1461" s="5" t="s">
        <v>23</v>
      </c>
      <c r="I1461" s="6" t="s">
        <v>28</v>
      </c>
      <c r="J1461" s="5">
        <v>3</v>
      </c>
      <c r="K1461" s="10">
        <v>27.659574468085001</v>
      </c>
      <c r="L1461" s="14">
        <f t="shared" si="86"/>
        <v>1.3</v>
      </c>
      <c r="M1461" s="14">
        <f t="shared" si="87"/>
        <v>9.2198581560283337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715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45473</v>
      </c>
      <c r="G1462" s="5">
        <v>2024</v>
      </c>
      <c r="H1462" s="5" t="s">
        <v>699</v>
      </c>
      <c r="I1462" s="6" t="s">
        <v>729</v>
      </c>
      <c r="J1462" s="5">
        <v>3</v>
      </c>
      <c r="K1462" s="10">
        <v>23.313905079100739</v>
      </c>
      <c r="L1462" s="14">
        <f t="shared" si="86"/>
        <v>1.3</v>
      </c>
      <c r="M1462" s="14">
        <f t="shared" si="87"/>
        <v>7.7713016930335792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2545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45657</v>
      </c>
      <c r="G1463" s="5">
        <v>2024</v>
      </c>
      <c r="H1463" s="5" t="s">
        <v>23</v>
      </c>
      <c r="I1463" s="6" t="s">
        <v>30</v>
      </c>
      <c r="J1463" s="5">
        <v>3</v>
      </c>
      <c r="K1463" s="10">
        <v>14.263862332695989</v>
      </c>
      <c r="L1463" s="14">
        <f t="shared" si="86"/>
        <v>1.3</v>
      </c>
      <c r="M1463" s="14">
        <f t="shared" si="87"/>
        <v>4.7546207775653295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717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71">
        <v>45838</v>
      </c>
      <c r="G1464" s="5">
        <v>2025</v>
      </c>
      <c r="H1464" s="5" t="s">
        <v>699</v>
      </c>
      <c r="I1464" s="6" t="s">
        <v>700</v>
      </c>
      <c r="J1464" s="5">
        <v>8</v>
      </c>
      <c r="K1464" s="10">
        <v>9.7899999999999991</v>
      </c>
      <c r="L1464" s="14">
        <f t="shared" si="86"/>
        <v>1.2237499999999999</v>
      </c>
      <c r="M1464" s="14">
        <f t="shared" si="87"/>
        <v>1.2237499999999999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2546</v>
      </c>
    </row>
    <row r="1465" spans="1:18" hidden="1" x14ac:dyDescent="0.3">
      <c r="A1465" s="21">
        <v>292</v>
      </c>
      <c r="B1465" s="5" t="s">
        <v>716</v>
      </c>
      <c r="C1465" s="5" t="s">
        <v>711</v>
      </c>
      <c r="D1465" s="5" t="s">
        <v>21</v>
      </c>
      <c r="E1465" s="5" t="s">
        <v>22</v>
      </c>
      <c r="F1465" s="71">
        <v>46022</v>
      </c>
      <c r="G1465" s="5">
        <v>2025</v>
      </c>
      <c r="H1465" s="5" t="s">
        <v>23</v>
      </c>
      <c r="I1465" s="6" t="s">
        <v>32</v>
      </c>
      <c r="J1465" s="5">
        <v>8</v>
      </c>
      <c r="K1465" s="10">
        <v>11.21</v>
      </c>
      <c r="L1465" s="14">
        <f t="shared" ref="L1465:L1484" si="88">IFERROR(IF(OR(J1465=0,K1465=""),"",IF(E1465="Positivo",MIN(MAX(K1465/J1465,0),1.3),MIN(MAX(J1465/K1465,0),1.3))),"")</f>
        <v>1.3</v>
      </c>
      <c r="M1465" s="14">
        <f t="shared" ref="M1465:M1484" si="89">IFERROR(IF(OR(J1465=0,K1465=""),"",IF(E1465="Positivo",MAX(K1465/J1465,0),MAX(J1465/K1465,0))),"")</f>
        <v>1.4012500000000001</v>
      </c>
      <c r="N1465" s="5" t="s">
        <v>25</v>
      </c>
      <c r="O1465" s="5" t="s">
        <v>25</v>
      </c>
      <c r="P1465" s="15">
        <v>0</v>
      </c>
      <c r="Q1465" s="15">
        <v>0</v>
      </c>
      <c r="R1465" s="5" t="s">
        <v>718</v>
      </c>
    </row>
    <row r="1466" spans="1:18" hidden="1" x14ac:dyDescent="0.3">
      <c r="A1466" s="5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100</v>
      </c>
      <c r="K1466" s="5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5">
        <v>0</v>
      </c>
      <c r="Q1466" s="5">
        <v>0</v>
      </c>
      <c r="R1466" s="5" t="s">
        <v>2547</v>
      </c>
    </row>
    <row r="1467" spans="1:18" hidden="1" x14ac:dyDescent="0.3">
      <c r="A1467" s="21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100</v>
      </c>
      <c r="K1467" s="10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720</v>
      </c>
    </row>
    <row r="1468" spans="1:18" hidden="1" x14ac:dyDescent="0.3">
      <c r="A1468" s="5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100</v>
      </c>
      <c r="K1468" s="5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5">
        <v>0</v>
      </c>
      <c r="Q1468" s="5">
        <v>0</v>
      </c>
      <c r="R1468" s="5" t="s">
        <v>2548</v>
      </c>
    </row>
    <row r="1469" spans="1:18" hidden="1" x14ac:dyDescent="0.3">
      <c r="A1469" s="21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100</v>
      </c>
      <c r="K1469" s="10">
        <v>100</v>
      </c>
      <c r="L1469" s="14">
        <f t="shared" si="88"/>
        <v>1</v>
      </c>
      <c r="M1469" s="14">
        <f t="shared" si="89"/>
        <v>1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721</v>
      </c>
    </row>
    <row r="1470" spans="1:18" hidden="1" x14ac:dyDescent="0.3">
      <c r="A1470" s="5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45107</v>
      </c>
      <c r="G1470" s="5">
        <v>2023</v>
      </c>
      <c r="H1470" s="5" t="s">
        <v>699</v>
      </c>
      <c r="I1470" s="6" t="s">
        <v>1512</v>
      </c>
      <c r="J1470" s="5">
        <v>3</v>
      </c>
      <c r="K1470" s="5">
        <v>30.158730158729998</v>
      </c>
      <c r="L1470" s="14">
        <f t="shared" si="88"/>
        <v>1.3</v>
      </c>
      <c r="M1470" s="14">
        <f t="shared" si="89"/>
        <v>10.052910052909999</v>
      </c>
      <c r="N1470" s="5" t="s">
        <v>25</v>
      </c>
      <c r="O1470" s="5" t="s">
        <v>25</v>
      </c>
      <c r="P1470" s="5">
        <v>0</v>
      </c>
      <c r="Q1470" s="5">
        <v>0</v>
      </c>
      <c r="R1470" s="5" t="s">
        <v>2549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3</v>
      </c>
      <c r="K1471" s="10">
        <v>41.986754966886998</v>
      </c>
      <c r="L1471" s="14">
        <f t="shared" si="88"/>
        <v>1.3</v>
      </c>
      <c r="M1471" s="14">
        <f t="shared" si="89"/>
        <v>13.995584988962333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723</v>
      </c>
    </row>
    <row r="1472" spans="1:18" hidden="1" x14ac:dyDescent="0.3">
      <c r="A1472" s="21">
        <v>294</v>
      </c>
      <c r="B1472" s="5" t="s">
        <v>722</v>
      </c>
      <c r="C1472" s="5" t="s">
        <v>711</v>
      </c>
      <c r="D1472" s="5" t="s">
        <v>27</v>
      </c>
      <c r="E1472" s="5" t="s">
        <v>22</v>
      </c>
      <c r="F1472" s="71">
        <v>45473</v>
      </c>
      <c r="G1472" s="5">
        <v>2024</v>
      </c>
      <c r="H1472" s="5" t="s">
        <v>699</v>
      </c>
      <c r="I1472" s="6" t="s">
        <v>729</v>
      </c>
      <c r="J1472" s="5">
        <v>3</v>
      </c>
      <c r="K1472" s="10">
        <v>26.27669452181987</v>
      </c>
      <c r="L1472" s="14">
        <f t="shared" si="88"/>
        <v>1.3</v>
      </c>
      <c r="M1472" s="14">
        <f t="shared" si="89"/>
        <v>8.7588981739399561</v>
      </c>
      <c r="N1472" s="5" t="s">
        <v>25</v>
      </c>
      <c r="O1472" s="5" t="s">
        <v>25</v>
      </c>
      <c r="P1472" s="15">
        <v>0</v>
      </c>
      <c r="Q1472" s="15">
        <v>0</v>
      </c>
      <c r="R1472" s="5" t="s">
        <v>2550</v>
      </c>
    </row>
    <row r="1473" spans="1:18" hidden="1" x14ac:dyDescent="0.3">
      <c r="A1473" s="5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45657</v>
      </c>
      <c r="G1473" s="5">
        <v>2024</v>
      </c>
      <c r="H1473" s="5" t="s">
        <v>23</v>
      </c>
      <c r="I1473" s="6" t="s">
        <v>30</v>
      </c>
      <c r="J1473" s="5">
        <v>3</v>
      </c>
      <c r="K1473" s="5">
        <v>5.5</v>
      </c>
      <c r="L1473" s="14">
        <f t="shared" si="88"/>
        <v>1.3</v>
      </c>
      <c r="M1473" s="14">
        <f t="shared" si="89"/>
        <v>1.8333333333333333</v>
      </c>
      <c r="N1473" s="5" t="s">
        <v>25</v>
      </c>
      <c r="O1473" s="5" t="s">
        <v>25</v>
      </c>
      <c r="P1473" s="5">
        <v>0</v>
      </c>
      <c r="Q1473" s="5">
        <v>0</v>
      </c>
      <c r="R1473" s="5" t="s">
        <v>725</v>
      </c>
    </row>
    <row r="1474" spans="1:18" hidden="1" x14ac:dyDescent="0.3">
      <c r="A1474" s="21">
        <v>294</v>
      </c>
      <c r="B1474" s="5" t="s">
        <v>724</v>
      </c>
      <c r="C1474" s="5" t="s">
        <v>711</v>
      </c>
      <c r="D1474" s="5" t="s">
        <v>27</v>
      </c>
      <c r="E1474" s="5" t="s">
        <v>22</v>
      </c>
      <c r="F1474" s="71">
        <v>45838</v>
      </c>
      <c r="G1474" s="5">
        <v>2025</v>
      </c>
      <c r="H1474" s="5" t="s">
        <v>699</v>
      </c>
      <c r="I1474" s="6" t="s">
        <v>700</v>
      </c>
      <c r="J1474" s="5">
        <v>8</v>
      </c>
      <c r="K1474" s="10">
        <v>-9.19</v>
      </c>
      <c r="L1474" s="14">
        <f t="shared" si="88"/>
        <v>0</v>
      </c>
      <c r="M1474" s="14">
        <f t="shared" si="89"/>
        <v>0</v>
      </c>
      <c r="N1474" s="5" t="s">
        <v>25</v>
      </c>
      <c r="O1474" s="5" t="s">
        <v>25</v>
      </c>
      <c r="P1474" s="15">
        <v>0</v>
      </c>
      <c r="Q1474" s="15">
        <v>0</v>
      </c>
      <c r="R1474" s="5" t="s">
        <v>2551</v>
      </c>
    </row>
    <row r="1475" spans="1:18" hidden="1" x14ac:dyDescent="0.3">
      <c r="A1475" s="5">
        <v>294</v>
      </c>
      <c r="B1475" s="5" t="s">
        <v>724</v>
      </c>
      <c r="C1475" s="5" t="s">
        <v>711</v>
      </c>
      <c r="D1475" s="5" t="s">
        <v>21</v>
      </c>
      <c r="E1475" s="5" t="s">
        <v>22</v>
      </c>
      <c r="F1475" s="71">
        <v>46022</v>
      </c>
      <c r="G1475" s="5">
        <v>2025</v>
      </c>
      <c r="H1475" s="5" t="s">
        <v>23</v>
      </c>
      <c r="I1475" s="6" t="s">
        <v>32</v>
      </c>
      <c r="J1475" s="5">
        <v>8</v>
      </c>
      <c r="K1475" s="5">
        <v>54.02</v>
      </c>
      <c r="L1475" s="14">
        <f t="shared" si="88"/>
        <v>1.3</v>
      </c>
      <c r="M1475" s="14">
        <f t="shared" si="89"/>
        <v>6.7525000000000004</v>
      </c>
      <c r="N1475" s="5" t="s">
        <v>25</v>
      </c>
      <c r="O1475" s="5" t="s">
        <v>25</v>
      </c>
      <c r="P1475" s="5">
        <v>0</v>
      </c>
      <c r="Q1475" s="5">
        <v>0</v>
      </c>
      <c r="R1475" s="5" t="s">
        <v>726</v>
      </c>
    </row>
    <row r="1476" spans="1:18" hidden="1" x14ac:dyDescent="0.3">
      <c r="A1476" s="21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11</v>
      </c>
      <c r="K1476" s="10">
        <v>5</v>
      </c>
      <c r="L1476" s="14">
        <f t="shared" si="88"/>
        <v>0.45454545454545453</v>
      </c>
      <c r="M1476" s="14">
        <f t="shared" si="89"/>
        <v>0.45454545454545453</v>
      </c>
      <c r="N1476" s="5" t="s">
        <v>25</v>
      </c>
      <c r="O1476" s="5" t="s">
        <v>25</v>
      </c>
      <c r="P1476" s="15">
        <v>0</v>
      </c>
      <c r="Q1476" s="15">
        <v>0</v>
      </c>
      <c r="R1476" s="5" t="s">
        <v>2552</v>
      </c>
    </row>
    <row r="1477" spans="1:18" hidden="1" x14ac:dyDescent="0.3">
      <c r="A1477" s="5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21</v>
      </c>
      <c r="K1477" s="5">
        <v>9</v>
      </c>
      <c r="L1477" s="14">
        <f t="shared" si="88"/>
        <v>0.42857142857142855</v>
      </c>
      <c r="M1477" s="14">
        <f t="shared" si="89"/>
        <v>0.42857142857142855</v>
      </c>
      <c r="N1477" s="5" t="s">
        <v>25</v>
      </c>
      <c r="O1477" s="5" t="s">
        <v>25</v>
      </c>
      <c r="P1477" s="5">
        <v>0</v>
      </c>
      <c r="Q1477" s="5">
        <v>0</v>
      </c>
      <c r="R1477" s="5" t="s">
        <v>728</v>
      </c>
    </row>
    <row r="1478" spans="1:18" hidden="1" x14ac:dyDescent="0.3">
      <c r="A1478" s="21">
        <v>295</v>
      </c>
      <c r="B1478" s="5" t="s">
        <v>727</v>
      </c>
      <c r="C1478" s="5" t="s">
        <v>63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60</v>
      </c>
      <c r="K1478" s="10">
        <v>52.38</v>
      </c>
      <c r="L1478" s="14">
        <f t="shared" si="88"/>
        <v>0.873</v>
      </c>
      <c r="M1478" s="14">
        <f t="shared" si="89"/>
        <v>0.873</v>
      </c>
      <c r="N1478" s="5" t="s">
        <v>128</v>
      </c>
      <c r="O1478" s="5" t="s">
        <v>128</v>
      </c>
      <c r="P1478" s="15">
        <v>0</v>
      </c>
      <c r="Q1478" s="15">
        <v>0</v>
      </c>
      <c r="R1478" s="5" t="s">
        <v>730</v>
      </c>
    </row>
    <row r="1479" spans="1:18" hidden="1" x14ac:dyDescent="0.3">
      <c r="A1479" s="5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45169</v>
      </c>
      <c r="G1479" s="5">
        <v>2023</v>
      </c>
      <c r="H1479" s="5" t="s">
        <v>1546</v>
      </c>
      <c r="I1479" s="6" t="s">
        <v>28</v>
      </c>
      <c r="J1479" s="5">
        <v>70</v>
      </c>
      <c r="K1479" s="5">
        <v>70.91</v>
      </c>
      <c r="L1479" s="14">
        <f t="shared" si="88"/>
        <v>1.0129999999999999</v>
      </c>
      <c r="M1479" s="14">
        <f t="shared" si="89"/>
        <v>1.0129999999999999</v>
      </c>
      <c r="N1479" s="5" t="s">
        <v>128</v>
      </c>
      <c r="O1479" s="5" t="s">
        <v>128</v>
      </c>
      <c r="P1479" s="5">
        <v>0</v>
      </c>
      <c r="Q1479" s="5">
        <v>0</v>
      </c>
      <c r="R1479" s="5" t="s">
        <v>2553</v>
      </c>
    </row>
    <row r="1480" spans="1:18" hidden="1" x14ac:dyDescent="0.3">
      <c r="A1480" s="21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45230</v>
      </c>
      <c r="G1480" s="5">
        <v>2023</v>
      </c>
      <c r="H1480" s="5" t="s">
        <v>150</v>
      </c>
      <c r="I1480" s="6" t="s">
        <v>28</v>
      </c>
      <c r="J1480" s="5">
        <v>80</v>
      </c>
      <c r="K1480" s="10">
        <v>80</v>
      </c>
      <c r="L1480" s="14">
        <f t="shared" si="88"/>
        <v>1</v>
      </c>
      <c r="M1480" s="14">
        <f t="shared" si="89"/>
        <v>1</v>
      </c>
      <c r="N1480" s="5" t="s">
        <v>128</v>
      </c>
      <c r="O1480" s="5" t="s">
        <v>128</v>
      </c>
      <c r="P1480" s="15">
        <v>0</v>
      </c>
      <c r="Q1480" s="15">
        <v>0</v>
      </c>
      <c r="R1480" s="5" t="s">
        <v>2554</v>
      </c>
    </row>
    <row r="1481" spans="1:18" hidden="1" x14ac:dyDescent="0.3">
      <c r="A1481" s="5">
        <v>296</v>
      </c>
      <c r="B1481" s="5" t="s">
        <v>731</v>
      </c>
      <c r="C1481" s="5" t="s">
        <v>732</v>
      </c>
      <c r="D1481" s="5" t="s">
        <v>64</v>
      </c>
      <c r="E1481" s="5" t="s">
        <v>22</v>
      </c>
      <c r="F1481" s="71">
        <v>45291</v>
      </c>
      <c r="G1481" s="5">
        <v>2023</v>
      </c>
      <c r="H1481" s="5" t="s">
        <v>23</v>
      </c>
      <c r="I1481" s="6" t="s">
        <v>28</v>
      </c>
      <c r="J1481" s="5">
        <v>100</v>
      </c>
      <c r="K1481" s="5">
        <v>85.45</v>
      </c>
      <c r="L1481" s="14">
        <f t="shared" si="88"/>
        <v>0.85450000000000004</v>
      </c>
      <c r="M1481" s="14">
        <f t="shared" si="89"/>
        <v>0.85450000000000004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733</v>
      </c>
    </row>
    <row r="1482" spans="1:18" hidden="1" x14ac:dyDescent="0.3">
      <c r="A1482" s="21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45169</v>
      </c>
      <c r="G1482" s="5">
        <v>2023</v>
      </c>
      <c r="H1482" s="5" t="s">
        <v>1546</v>
      </c>
      <c r="I1482" s="6" t="s">
        <v>28</v>
      </c>
      <c r="J1482" s="5">
        <v>20</v>
      </c>
      <c r="K1482" s="10">
        <v>0</v>
      </c>
      <c r="L1482" s="14" t="str">
        <f t="shared" si="88"/>
        <v/>
      </c>
      <c r="M1482" s="14" t="str">
        <f t="shared" si="89"/>
        <v/>
      </c>
      <c r="N1482" s="5" t="s">
        <v>128</v>
      </c>
      <c r="O1482" s="5" t="s">
        <v>128</v>
      </c>
      <c r="P1482" s="15">
        <v>0</v>
      </c>
      <c r="Q1482" s="15">
        <v>0</v>
      </c>
      <c r="R1482" s="5" t="s">
        <v>2555</v>
      </c>
    </row>
    <row r="1483" spans="1:18" hidden="1" x14ac:dyDescent="0.3">
      <c r="A1483" s="5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45230</v>
      </c>
      <c r="G1483" s="5">
        <v>2023</v>
      </c>
      <c r="H1483" s="5" t="s">
        <v>150</v>
      </c>
      <c r="I1483" s="6" t="s">
        <v>28</v>
      </c>
      <c r="J1483" s="5">
        <v>20</v>
      </c>
      <c r="K1483" s="5">
        <v>1.19</v>
      </c>
      <c r="L1483" s="14">
        <f t="shared" si="88"/>
        <v>1.3</v>
      </c>
      <c r="M1483" s="14">
        <f t="shared" si="89"/>
        <v>16.806722689075631</v>
      </c>
      <c r="N1483" s="5" t="s">
        <v>128</v>
      </c>
      <c r="O1483" s="5" t="s">
        <v>136</v>
      </c>
      <c r="P1483" s="5">
        <v>2</v>
      </c>
      <c r="Q1483" s="5">
        <v>2</v>
      </c>
      <c r="R1483" s="5" t="s">
        <v>2556</v>
      </c>
    </row>
    <row r="1484" spans="1:18" hidden="1" x14ac:dyDescent="0.3">
      <c r="A1484" s="21">
        <v>297</v>
      </c>
      <c r="B1484" s="5" t="s">
        <v>734</v>
      </c>
      <c r="C1484" s="5" t="s">
        <v>732</v>
      </c>
      <c r="D1484" s="5" t="s">
        <v>64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>
        <v>20</v>
      </c>
      <c r="K1484" s="10">
        <v>0.93</v>
      </c>
      <c r="L1484" s="14">
        <f t="shared" si="88"/>
        <v>1.3</v>
      </c>
      <c r="M1484" s="14">
        <f t="shared" si="89"/>
        <v>21.50537634408602</v>
      </c>
      <c r="N1484" s="5" t="s">
        <v>128</v>
      </c>
      <c r="O1484" s="5" t="s">
        <v>136</v>
      </c>
      <c r="P1484" s="15">
        <v>0</v>
      </c>
      <c r="Q1484" s="15">
        <v>0</v>
      </c>
      <c r="R1484" s="5" t="s">
        <v>735</v>
      </c>
    </row>
    <row r="1485" spans="1:18" hidden="1" x14ac:dyDescent="0.3">
      <c r="A1485" s="21">
        <v>298</v>
      </c>
      <c r="B1485" s="5" t="s">
        <v>736</v>
      </c>
      <c r="C1485" s="5" t="s">
        <v>732</v>
      </c>
      <c r="D1485" s="5" t="s">
        <v>27</v>
      </c>
      <c r="E1485" s="5" t="s">
        <v>41</v>
      </c>
      <c r="F1485" s="71">
        <v>45291</v>
      </c>
      <c r="G1485" s="5">
        <v>2023</v>
      </c>
      <c r="H1485" s="5" t="s">
        <v>23</v>
      </c>
      <c r="I1485" s="6" t="s">
        <v>28</v>
      </c>
      <c r="J1485" s="5"/>
      <c r="K1485" s="10">
        <v>1</v>
      </c>
      <c r="L1485" s="14"/>
      <c r="M1485" s="14"/>
      <c r="N1485" s="5" t="s">
        <v>355</v>
      </c>
      <c r="O1485" s="5" t="s">
        <v>136</v>
      </c>
      <c r="P1485" s="15">
        <v>0</v>
      </c>
      <c r="Q1485" s="15">
        <v>0</v>
      </c>
      <c r="R1485" s="5" t="s">
        <v>737</v>
      </c>
    </row>
    <row r="1486" spans="1:18" hidden="1" x14ac:dyDescent="0.3">
      <c r="A1486" s="5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45016</v>
      </c>
      <c r="G1486" s="5">
        <v>2023</v>
      </c>
      <c r="H1486" s="5" t="s">
        <v>1516</v>
      </c>
      <c r="I1486" s="6" t="s">
        <v>1512</v>
      </c>
      <c r="J1486" s="5">
        <v>100</v>
      </c>
      <c r="K1486" s="5">
        <v>100</v>
      </c>
      <c r="L1486" s="14">
        <f t="shared" ref="L1486:L1513" si="90">IFERROR(IF(OR(J1486=0,K1486=""),"",IF(E1486="Positivo",MIN(MAX(K1486/J1486,0),1.3),MIN(MAX(J1486/K1486,0),1.3))),"")</f>
        <v>1</v>
      </c>
      <c r="M1486" s="14">
        <f t="shared" ref="M1486:M1513" si="91">IFERROR(IF(OR(J1486=0,K1486=""),"",IF(E1486="Positivo",MAX(K1486/J1486,0),MAX(J1486/K1486,0))),"")</f>
        <v>1</v>
      </c>
      <c r="N1486" s="5" t="s">
        <v>25</v>
      </c>
      <c r="O1486" s="5" t="s">
        <v>25</v>
      </c>
      <c r="P1486" s="5">
        <v>0</v>
      </c>
      <c r="Q1486" s="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45107</v>
      </c>
      <c r="G1487" s="5">
        <v>2023</v>
      </c>
      <c r="H1487" s="5" t="s">
        <v>699</v>
      </c>
      <c r="I1487" s="6" t="s">
        <v>1512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45199</v>
      </c>
      <c r="G1488" s="5">
        <v>2023</v>
      </c>
      <c r="H1488" s="5" t="s">
        <v>162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2559</v>
      </c>
    </row>
    <row r="1489" spans="1:18" hidden="1" x14ac:dyDescent="0.3">
      <c r="A1489" s="21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45291</v>
      </c>
      <c r="G1489" s="5">
        <v>2023</v>
      </c>
      <c r="H1489" s="5" t="s">
        <v>23</v>
      </c>
      <c r="I1489" s="6" t="s">
        <v>28</v>
      </c>
      <c r="J1489" s="5">
        <v>100</v>
      </c>
      <c r="K1489" s="10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740</v>
      </c>
    </row>
    <row r="1490" spans="1:18" hidden="1" x14ac:dyDescent="0.3">
      <c r="A1490" s="5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45382</v>
      </c>
      <c r="G1490" s="5">
        <v>2024</v>
      </c>
      <c r="H1490" s="5" t="s">
        <v>1516</v>
      </c>
      <c r="I1490" s="6" t="s">
        <v>729</v>
      </c>
      <c r="J1490" s="5">
        <v>100</v>
      </c>
      <c r="K1490" s="5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5">
        <v>0</v>
      </c>
      <c r="Q1490" s="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45473</v>
      </c>
      <c r="G1491" s="5">
        <v>2024</v>
      </c>
      <c r="H1491" s="5" t="s">
        <v>699</v>
      </c>
      <c r="I1491" s="6" t="s">
        <v>729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45565</v>
      </c>
      <c r="G1492" s="5">
        <v>2024</v>
      </c>
      <c r="H1492" s="5" t="s">
        <v>162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2562</v>
      </c>
    </row>
    <row r="1493" spans="1:18" hidden="1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45657</v>
      </c>
      <c r="G1493" s="5">
        <v>2024</v>
      </c>
      <c r="H1493" s="5" t="s">
        <v>23</v>
      </c>
      <c r="I1493" s="6" t="s">
        <v>30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741</v>
      </c>
    </row>
    <row r="1494" spans="1:18" hidden="1" x14ac:dyDescent="0.3">
      <c r="A1494" s="5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45747</v>
      </c>
      <c r="G1494" s="5">
        <v>2025</v>
      </c>
      <c r="H1494" s="5" t="s">
        <v>1516</v>
      </c>
      <c r="I1494" s="6" t="s">
        <v>700</v>
      </c>
      <c r="J1494" s="5">
        <v>100</v>
      </c>
      <c r="K1494" s="5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45838</v>
      </c>
      <c r="G1495" s="5">
        <v>2025</v>
      </c>
      <c r="H1495" s="5" t="s">
        <v>699</v>
      </c>
      <c r="I1495" s="6" t="s">
        <v>700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21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45930</v>
      </c>
      <c r="G1496" s="5">
        <v>2025</v>
      </c>
      <c r="H1496" s="5" t="s">
        <v>162</v>
      </c>
      <c r="I1496" s="6" t="s">
        <v>32</v>
      </c>
      <c r="J1496" s="5">
        <v>100</v>
      </c>
      <c r="K1496" s="10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15">
        <v>0</v>
      </c>
      <c r="Q1496" s="15">
        <v>0</v>
      </c>
      <c r="R1496" s="5" t="s">
        <v>2565</v>
      </c>
    </row>
    <row r="1497" spans="1:18" hidden="1" x14ac:dyDescent="0.3">
      <c r="A1497" s="5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71">
        <v>46022</v>
      </c>
      <c r="G1497" s="5">
        <v>2025</v>
      </c>
      <c r="H1497" s="5" t="s">
        <v>23</v>
      </c>
      <c r="I1497" s="6" t="s">
        <v>32</v>
      </c>
      <c r="J1497" s="5">
        <v>100</v>
      </c>
      <c r="K1497" s="5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5">
        <v>0</v>
      </c>
      <c r="Q1497" s="5">
        <v>0</v>
      </c>
      <c r="R1497" s="5" t="s">
        <v>742</v>
      </c>
    </row>
    <row r="1498" spans="1:18" hidden="1" x14ac:dyDescent="0.3">
      <c r="A1498" s="21">
        <v>301</v>
      </c>
      <c r="B1498" s="5" t="s">
        <v>743</v>
      </c>
      <c r="C1498" s="5" t="s">
        <v>739</v>
      </c>
      <c r="D1498" s="5" t="s">
        <v>21</v>
      </c>
      <c r="E1498" s="5" t="s">
        <v>22</v>
      </c>
      <c r="F1498" s="71">
        <v>45016</v>
      </c>
      <c r="G1498" s="5">
        <v>2023</v>
      </c>
      <c r="H1498" s="5" t="s">
        <v>1516</v>
      </c>
      <c r="I1498" s="6" t="s">
        <v>1512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20" t="s">
        <v>743</v>
      </c>
      <c r="C1499" s="5" t="s">
        <v>739</v>
      </c>
      <c r="D1499" s="5" t="s">
        <v>21</v>
      </c>
      <c r="E1499" s="5" t="s">
        <v>22</v>
      </c>
      <c r="F1499" s="71">
        <v>45107</v>
      </c>
      <c r="G1499" s="5">
        <v>2023</v>
      </c>
      <c r="H1499" s="5" t="s">
        <v>699</v>
      </c>
      <c r="I1499" s="6" t="s">
        <v>1512</v>
      </c>
      <c r="J1499" s="5">
        <v>100</v>
      </c>
      <c r="K1499" s="52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5" t="s">
        <v>743</v>
      </c>
      <c r="C1500" s="5" t="s">
        <v>739</v>
      </c>
      <c r="D1500" s="5" t="s">
        <v>21</v>
      </c>
      <c r="E1500" s="5" t="s">
        <v>22</v>
      </c>
      <c r="F1500" s="71">
        <v>45199</v>
      </c>
      <c r="G1500" s="5">
        <v>2023</v>
      </c>
      <c r="H1500" s="5" t="s">
        <v>162</v>
      </c>
      <c r="I1500" s="6" t="s">
        <v>28</v>
      </c>
      <c r="J1500" s="5">
        <v>100</v>
      </c>
      <c r="K1500" s="1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2568</v>
      </c>
    </row>
    <row r="1501" spans="1:18" hidden="1" x14ac:dyDescent="0.3">
      <c r="A1501" s="21">
        <v>301</v>
      </c>
      <c r="B1501" s="20" t="s">
        <v>743</v>
      </c>
      <c r="C1501" s="5" t="s">
        <v>739</v>
      </c>
      <c r="D1501" s="5" t="s">
        <v>21</v>
      </c>
      <c r="E1501" s="5" t="s">
        <v>22</v>
      </c>
      <c r="F1501" s="71">
        <v>45291</v>
      </c>
      <c r="G1501" s="5">
        <v>2023</v>
      </c>
      <c r="H1501" s="5" t="s">
        <v>23</v>
      </c>
      <c r="I1501" s="6" t="s">
        <v>28</v>
      </c>
      <c r="J1501" s="5">
        <v>100</v>
      </c>
      <c r="K1501" s="5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744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45382</v>
      </c>
      <c r="G1502" s="5">
        <v>2024</v>
      </c>
      <c r="H1502" s="5" t="s">
        <v>1516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45473</v>
      </c>
      <c r="G1503" s="5">
        <v>2024</v>
      </c>
      <c r="H1503" s="5" t="s">
        <v>699</v>
      </c>
      <c r="I1503" s="6" t="s">
        <v>729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45565</v>
      </c>
      <c r="G1504" s="5">
        <v>2024</v>
      </c>
      <c r="H1504" s="5" t="s">
        <v>162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2571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45657</v>
      </c>
      <c r="G1505" s="5">
        <v>2024</v>
      </c>
      <c r="H1505" s="5" t="s">
        <v>23</v>
      </c>
      <c r="I1505" s="6" t="s">
        <v>30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745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45747</v>
      </c>
      <c r="G1506" s="5">
        <v>2025</v>
      </c>
      <c r="H1506" s="5" t="s">
        <v>1516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21</v>
      </c>
      <c r="E1507" s="5" t="s">
        <v>22</v>
      </c>
      <c r="F1507" s="71">
        <v>45838</v>
      </c>
      <c r="G1507" s="5">
        <v>2025</v>
      </c>
      <c r="H1507" s="5" t="s">
        <v>699</v>
      </c>
      <c r="I1507" s="6" t="s">
        <v>700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45930</v>
      </c>
      <c r="G1508" s="5">
        <v>2025</v>
      </c>
      <c r="H1508" s="5" t="s">
        <v>162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2574</v>
      </c>
    </row>
    <row r="1509" spans="1:19" hidden="1" x14ac:dyDescent="0.3">
      <c r="A1509" s="21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71">
        <v>46022</v>
      </c>
      <c r="G1509" s="5">
        <v>2025</v>
      </c>
      <c r="H1509" s="5" t="s">
        <v>23</v>
      </c>
      <c r="I1509" s="6" t="s">
        <v>32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746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45107</v>
      </c>
      <c r="G1510" s="5">
        <v>2023</v>
      </c>
      <c r="H1510" s="5" t="s">
        <v>699</v>
      </c>
      <c r="I1510" s="6" t="s">
        <v>1512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2575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45291</v>
      </c>
      <c r="G1511" s="5">
        <v>2023</v>
      </c>
      <c r="H1511" s="5" t="s">
        <v>23</v>
      </c>
      <c r="I1511" s="6" t="s">
        <v>28</v>
      </c>
      <c r="J1511" s="5">
        <v>0</v>
      </c>
      <c r="K1511" s="10">
        <v>0</v>
      </c>
      <c r="L1511" s="14" t="str">
        <f t="shared" si="90"/>
        <v/>
      </c>
      <c r="M1511" s="14" t="str">
        <f t="shared" si="91"/>
        <v/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748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45473</v>
      </c>
      <c r="G1512" s="5">
        <v>2024</v>
      </c>
      <c r="H1512" s="5" t="s">
        <v>699</v>
      </c>
      <c r="I1512" s="6" t="s">
        <v>729</v>
      </c>
      <c r="J1512" s="5">
        <v>0</v>
      </c>
      <c r="K1512" s="10">
        <v>17878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2576</v>
      </c>
    </row>
    <row r="1513" spans="1:19" hidden="1" x14ac:dyDescent="0.3">
      <c r="A1513" s="21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71">
        <v>45657</v>
      </c>
      <c r="G1513" s="5">
        <v>2024</v>
      </c>
      <c r="H1513" s="5" t="s">
        <v>23</v>
      </c>
      <c r="I1513" s="6" t="s">
        <v>30</v>
      </c>
      <c r="J1513" s="5">
        <v>0</v>
      </c>
      <c r="K1513" s="10">
        <v>19142</v>
      </c>
      <c r="L1513" s="14" t="str">
        <f t="shared" si="90"/>
        <v/>
      </c>
      <c r="M1513" s="14" t="str">
        <f t="shared" si="91"/>
        <v/>
      </c>
      <c r="N1513" s="5">
        <v>0</v>
      </c>
      <c r="O1513" s="5" t="s">
        <v>128</v>
      </c>
      <c r="P1513" s="15">
        <v>0</v>
      </c>
      <c r="Q1513" s="15">
        <v>0</v>
      </c>
      <c r="R1513" s="5" t="s">
        <v>749</v>
      </c>
    </row>
    <row r="1514" spans="1:19" hidden="1" x14ac:dyDescent="0.3">
      <c r="A1514" s="21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45838</v>
      </c>
      <c r="G1514" s="5">
        <v>2025</v>
      </c>
      <c r="H1514" s="5" t="s">
        <v>699</v>
      </c>
      <c r="I1514" s="6" t="s">
        <v>700</v>
      </c>
      <c r="J1514" s="5"/>
      <c r="K1514" s="10">
        <v>21712</v>
      </c>
      <c r="L1514" s="14"/>
      <c r="M1514" s="14"/>
      <c r="N1514" s="5" t="s">
        <v>25</v>
      </c>
      <c r="O1514" s="5" t="s">
        <v>128</v>
      </c>
      <c r="P1514" s="15">
        <v>0</v>
      </c>
      <c r="Q1514" s="15">
        <v>0</v>
      </c>
      <c r="R1514" s="5" t="s">
        <v>2577</v>
      </c>
      <c r="S1514" t="s">
        <v>263</v>
      </c>
    </row>
    <row r="1515" spans="1:19" hidden="1" x14ac:dyDescent="0.3">
      <c r="A1515" s="5">
        <v>302</v>
      </c>
      <c r="B1515" s="5" t="s">
        <v>750</v>
      </c>
      <c r="C1515" s="5" t="s">
        <v>619</v>
      </c>
      <c r="D1515" s="5" t="s">
        <v>21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/>
      <c r="K1515" s="5">
        <v>31371</v>
      </c>
      <c r="L1515" s="14"/>
      <c r="M1515" s="14"/>
      <c r="N1515" s="5" t="s">
        <v>25</v>
      </c>
      <c r="O1515" s="5" t="s">
        <v>128</v>
      </c>
      <c r="P1515" s="5">
        <v>0</v>
      </c>
      <c r="Q1515" s="5">
        <v>0</v>
      </c>
      <c r="R1515" s="5" t="s">
        <v>751</v>
      </c>
      <c r="S1515" t="s">
        <v>263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100</v>
      </c>
      <c r="K1516" s="10">
        <v>75.757575757576006</v>
      </c>
      <c r="L1516" s="14">
        <f t="shared" ref="L1516:L1547" si="92">IFERROR(IF(OR(J1516=0,K1516=""),"",IF(E1516="Positivo",MIN(MAX(K1516/J1516,0),1.3),MIN(MAX(J1516/K1516,0),1.3))),"")</f>
        <v>0.75757575757576001</v>
      </c>
      <c r="M1516" s="14">
        <f t="shared" ref="M1516:M1547" si="93">IFERROR(IF(OR(J1516=0,K1516=""),"",IF(E1516="Positivo",MAX(K1516/J1516,0),MAX(J1516/K1516,0))),"")</f>
        <v>0.75757575757576001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2578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100</v>
      </c>
      <c r="K1517" s="10">
        <v>79.545454545454547</v>
      </c>
      <c r="L1517" s="14">
        <f t="shared" si="92"/>
        <v>0.79545454545454541</v>
      </c>
      <c r="M1517" s="14">
        <f t="shared" si="93"/>
        <v>0.79545454545454541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754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95</v>
      </c>
      <c r="K1518" s="10">
        <v>100</v>
      </c>
      <c r="L1518" s="14">
        <f t="shared" si="92"/>
        <v>1.0526315789473684</v>
      </c>
      <c r="M1518" s="14">
        <f t="shared" si="93"/>
        <v>1.0526315789473684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2579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95</v>
      </c>
      <c r="K1519" s="10">
        <v>95.652173913043484</v>
      </c>
      <c r="L1519" s="14">
        <f t="shared" si="92"/>
        <v>1.0068649885583525</v>
      </c>
      <c r="M1519" s="14">
        <f t="shared" si="93"/>
        <v>1.0068649885583525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755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>
        <v>95</v>
      </c>
      <c r="K1520" s="10">
        <v>90.32</v>
      </c>
      <c r="L1520" s="14">
        <f t="shared" si="92"/>
        <v>0.9507368421052631</v>
      </c>
      <c r="M1520" s="14">
        <f t="shared" si="93"/>
        <v>0.9507368421052631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2580</v>
      </c>
    </row>
    <row r="1521" spans="1:18" hidden="1" x14ac:dyDescent="0.3">
      <c r="A1521" s="21">
        <v>303</v>
      </c>
      <c r="B1521" s="5" t="s">
        <v>752</v>
      </c>
      <c r="C1521" s="5" t="s">
        <v>753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>
        <v>95</v>
      </c>
      <c r="K1521" s="10">
        <v>100</v>
      </c>
      <c r="L1521" s="14">
        <f t="shared" si="92"/>
        <v>1.0526315789473684</v>
      </c>
      <c r="M1521" s="14">
        <f t="shared" si="93"/>
        <v>1.0526315789473684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756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189.86</v>
      </c>
      <c r="L1522" s="14">
        <f t="shared" si="92"/>
        <v>1.3</v>
      </c>
      <c r="M1522" s="14">
        <f t="shared" si="93"/>
        <v>1.8986000000000001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2581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176.33</v>
      </c>
      <c r="L1523" s="14">
        <f t="shared" si="92"/>
        <v>1.3</v>
      </c>
      <c r="M1523" s="14">
        <f t="shared" si="93"/>
        <v>1.7633000000000001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758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100</v>
      </c>
      <c r="K1524" s="10">
        <v>100.12</v>
      </c>
      <c r="L1524" s="14">
        <f t="shared" si="92"/>
        <v>1.0012000000000001</v>
      </c>
      <c r="M1524" s="14">
        <f t="shared" si="93"/>
        <v>1.0012000000000001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2582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100</v>
      </c>
      <c r="K1525" s="10">
        <v>83.56</v>
      </c>
      <c r="L1525" s="14">
        <f t="shared" si="92"/>
        <v>0.83560000000000001</v>
      </c>
      <c r="M1525" s="14">
        <f t="shared" si="93"/>
        <v>0.83560000000000001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759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100</v>
      </c>
      <c r="K1526" s="10">
        <v>98.47</v>
      </c>
      <c r="L1526" s="14">
        <f t="shared" si="92"/>
        <v>0.98470000000000002</v>
      </c>
      <c r="M1526" s="14">
        <f t="shared" si="93"/>
        <v>0.98470000000000002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2583</v>
      </c>
    </row>
    <row r="1527" spans="1:18" hidden="1" x14ac:dyDescent="0.3">
      <c r="A1527" s="21">
        <v>304</v>
      </c>
      <c r="B1527" s="5" t="s">
        <v>757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100</v>
      </c>
      <c r="K1527" s="10">
        <v>116.09</v>
      </c>
      <c r="L1527" s="14">
        <f t="shared" si="92"/>
        <v>1.1609</v>
      </c>
      <c r="M1527" s="14">
        <f t="shared" si="93"/>
        <v>1.1609</v>
      </c>
      <c r="N1527" s="5" t="s">
        <v>128</v>
      </c>
      <c r="O1527" s="5" t="s">
        <v>128</v>
      </c>
      <c r="P1527" s="15">
        <v>0</v>
      </c>
      <c r="Q1527" s="15">
        <v>0</v>
      </c>
      <c r="R1527" s="5" t="s">
        <v>760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45291</v>
      </c>
      <c r="G1528" s="5">
        <v>2023</v>
      </c>
      <c r="H1528" s="5" t="s">
        <v>23</v>
      </c>
      <c r="I1528" s="6" t="s">
        <v>28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762</v>
      </c>
    </row>
    <row r="1529" spans="1:18" hidden="1" x14ac:dyDescent="0.3">
      <c r="A1529" s="21">
        <v>305</v>
      </c>
      <c r="B1529" s="5" t="s">
        <v>761</v>
      </c>
      <c r="C1529" s="5" t="s">
        <v>753</v>
      </c>
      <c r="D1529" s="5" t="s">
        <v>71</v>
      </c>
      <c r="E1529" s="5" t="s">
        <v>22</v>
      </c>
      <c r="F1529" s="71">
        <v>45657</v>
      </c>
      <c r="G1529" s="5">
        <v>2024</v>
      </c>
      <c r="H1529" s="5" t="s">
        <v>23</v>
      </c>
      <c r="I1529" s="6" t="s">
        <v>30</v>
      </c>
      <c r="J1529" s="5">
        <v>100</v>
      </c>
      <c r="K1529" s="10">
        <v>100</v>
      </c>
      <c r="L1529" s="14">
        <f t="shared" si="92"/>
        <v>1</v>
      </c>
      <c r="M1529" s="14">
        <f t="shared" si="93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763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27</v>
      </c>
      <c r="E1530" s="5" t="s">
        <v>22</v>
      </c>
      <c r="F1530" s="71">
        <v>45016</v>
      </c>
      <c r="G1530" s="5">
        <v>2023</v>
      </c>
      <c r="H1530" s="5" t="s">
        <v>1516</v>
      </c>
      <c r="I1530" s="6" t="s">
        <v>1512</v>
      </c>
      <c r="J1530" s="5">
        <v>100</v>
      </c>
      <c r="K1530" s="10">
        <v>0</v>
      </c>
      <c r="L1530" s="14">
        <f t="shared" si="92"/>
        <v>0</v>
      </c>
      <c r="M1530" s="14">
        <f t="shared" si="93"/>
        <v>0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45107</v>
      </c>
      <c r="G1531" s="5">
        <v>2023</v>
      </c>
      <c r="H1531" s="5" t="s">
        <v>699</v>
      </c>
      <c r="I1531" s="6" t="s">
        <v>1512</v>
      </c>
      <c r="J1531" s="5">
        <v>100</v>
      </c>
      <c r="K1531" s="10">
        <v>723</v>
      </c>
      <c r="L1531" s="14">
        <f t="shared" si="92"/>
        <v>1.3</v>
      </c>
      <c r="M1531" s="14">
        <f t="shared" si="93"/>
        <v>7.23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45199</v>
      </c>
      <c r="G1532" s="5">
        <v>2023</v>
      </c>
      <c r="H1532" s="5" t="s">
        <v>162</v>
      </c>
      <c r="I1532" s="6" t="s">
        <v>28</v>
      </c>
      <c r="J1532" s="5">
        <v>100</v>
      </c>
      <c r="K1532" s="10">
        <v>98</v>
      </c>
      <c r="L1532" s="14">
        <f t="shared" si="92"/>
        <v>0.98</v>
      </c>
      <c r="M1532" s="14">
        <f t="shared" si="93"/>
        <v>0.98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2586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45291</v>
      </c>
      <c r="G1533" s="5">
        <v>2023</v>
      </c>
      <c r="H1533" s="5" t="s">
        <v>23</v>
      </c>
      <c r="I1533" s="6" t="s">
        <v>28</v>
      </c>
      <c r="J1533" s="5">
        <v>100</v>
      </c>
      <c r="K1533" s="10">
        <v>626</v>
      </c>
      <c r="L1533" s="14">
        <f t="shared" si="92"/>
        <v>1.3</v>
      </c>
      <c r="M1533" s="14">
        <f t="shared" si="93"/>
        <v>6.26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765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45382</v>
      </c>
      <c r="G1534" s="5">
        <v>2024</v>
      </c>
      <c r="H1534" s="5" t="s">
        <v>1516</v>
      </c>
      <c r="I1534" s="6" t="s">
        <v>729</v>
      </c>
      <c r="J1534" s="5">
        <v>100</v>
      </c>
      <c r="K1534" s="10">
        <v>0</v>
      </c>
      <c r="L1534" s="14">
        <f t="shared" si="92"/>
        <v>0</v>
      </c>
      <c r="M1534" s="14">
        <f t="shared" si="93"/>
        <v>0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45473</v>
      </c>
      <c r="G1535" s="5">
        <v>2024</v>
      </c>
      <c r="H1535" s="5" t="s">
        <v>699</v>
      </c>
      <c r="I1535" s="6" t="s">
        <v>729</v>
      </c>
      <c r="J1535" s="5">
        <v>100</v>
      </c>
      <c r="K1535" s="10">
        <v>601</v>
      </c>
      <c r="L1535" s="14">
        <f t="shared" si="92"/>
        <v>1.3</v>
      </c>
      <c r="M1535" s="14">
        <f t="shared" si="93"/>
        <v>6.01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45565</v>
      </c>
      <c r="G1536" s="5">
        <v>2024</v>
      </c>
      <c r="H1536" s="5" t="s">
        <v>162</v>
      </c>
      <c r="I1536" s="6" t="s">
        <v>30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2589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45657</v>
      </c>
      <c r="G1537" s="5">
        <v>2024</v>
      </c>
      <c r="H1537" s="5" t="s">
        <v>23</v>
      </c>
      <c r="I1537" s="6" t="s">
        <v>30</v>
      </c>
      <c r="J1537" s="5">
        <v>100</v>
      </c>
      <c r="K1537" s="10">
        <v>101</v>
      </c>
      <c r="L1537" s="14">
        <f t="shared" si="92"/>
        <v>1.01</v>
      </c>
      <c r="M1537" s="14">
        <f t="shared" si="93"/>
        <v>1.01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766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45838</v>
      </c>
      <c r="G1538" s="5">
        <v>2025</v>
      </c>
      <c r="H1538" s="5" t="s">
        <v>699</v>
      </c>
      <c r="I1538" s="6" t="s">
        <v>700</v>
      </c>
      <c r="J1538" s="5">
        <v>100</v>
      </c>
      <c r="K1538" s="10">
        <v>108.67</v>
      </c>
      <c r="L1538" s="14">
        <f t="shared" si="92"/>
        <v>1.0867</v>
      </c>
      <c r="M1538" s="14">
        <f t="shared" si="93"/>
        <v>1.0867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45930</v>
      </c>
      <c r="G1539" s="5">
        <v>2025</v>
      </c>
      <c r="H1539" s="5" t="s">
        <v>162</v>
      </c>
      <c r="I1539" s="6" t="s">
        <v>32</v>
      </c>
      <c r="J1539" s="5">
        <v>100</v>
      </c>
      <c r="K1539" s="10">
        <v>105.83</v>
      </c>
      <c r="L1539" s="14">
        <f t="shared" si="92"/>
        <v>1.0583</v>
      </c>
      <c r="M1539" s="14">
        <f t="shared" si="93"/>
        <v>1.0583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2591</v>
      </c>
    </row>
    <row r="1540" spans="1:18" hidden="1" x14ac:dyDescent="0.3">
      <c r="A1540" s="21">
        <v>306</v>
      </c>
      <c r="B1540" s="5" t="s">
        <v>764</v>
      </c>
      <c r="C1540" s="5" t="s">
        <v>554</v>
      </c>
      <c r="D1540" s="5" t="s">
        <v>27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32</v>
      </c>
      <c r="J1540" s="5">
        <v>100</v>
      </c>
      <c r="K1540" s="10">
        <v>107.62</v>
      </c>
      <c r="L1540" s="14">
        <f t="shared" si="92"/>
        <v>1.0762</v>
      </c>
      <c r="M1540" s="14">
        <f t="shared" si="93"/>
        <v>1.0762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767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699</v>
      </c>
      <c r="I1541" s="6" t="s">
        <v>1512</v>
      </c>
      <c r="J1541" s="5">
        <v>20</v>
      </c>
      <c r="K1541" s="10">
        <v>25</v>
      </c>
      <c r="L1541" s="14">
        <f t="shared" si="92"/>
        <v>1.25</v>
      </c>
      <c r="M1541" s="14">
        <f t="shared" si="93"/>
        <v>1.25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2592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26</v>
      </c>
      <c r="K1542" s="10">
        <v>82</v>
      </c>
      <c r="L1542" s="14">
        <f t="shared" si="92"/>
        <v>1.3</v>
      </c>
      <c r="M1542" s="14">
        <f t="shared" si="93"/>
        <v>3.1538461538461537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769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699</v>
      </c>
      <c r="I1543" s="6" t="s">
        <v>729</v>
      </c>
      <c r="J1543" s="5">
        <v>100</v>
      </c>
      <c r="K1543" s="10">
        <v>112</v>
      </c>
      <c r="L1543" s="14">
        <f t="shared" si="92"/>
        <v>1.1200000000000001</v>
      </c>
      <c r="M1543" s="14">
        <f t="shared" si="93"/>
        <v>1.1200000000000001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2593</v>
      </c>
    </row>
    <row r="1544" spans="1:18" hidden="1" x14ac:dyDescent="0.3">
      <c r="A1544" s="21">
        <v>307</v>
      </c>
      <c r="B1544" s="5" t="s">
        <v>768</v>
      </c>
      <c r="C1544" s="5" t="s">
        <v>246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100</v>
      </c>
      <c r="K1544" s="10">
        <v>413.33</v>
      </c>
      <c r="L1544" s="14">
        <f t="shared" si="92"/>
        <v>1.3</v>
      </c>
      <c r="M1544" s="14">
        <f t="shared" si="93"/>
        <v>4.1333000000000002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770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45107</v>
      </c>
      <c r="G1545" s="5">
        <v>2023</v>
      </c>
      <c r="H1545" s="5" t="s">
        <v>699</v>
      </c>
      <c r="I1545" s="6" t="s">
        <v>1512</v>
      </c>
      <c r="J1545" s="5">
        <v>12</v>
      </c>
      <c r="K1545" s="10">
        <v>27</v>
      </c>
      <c r="L1545" s="14">
        <f t="shared" si="92"/>
        <v>1.3</v>
      </c>
      <c r="M1545" s="14">
        <f t="shared" si="93"/>
        <v>2.25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2594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45291</v>
      </c>
      <c r="G1546" s="5">
        <v>2023</v>
      </c>
      <c r="H1546" s="5" t="s">
        <v>23</v>
      </c>
      <c r="I1546" s="6" t="s">
        <v>28</v>
      </c>
      <c r="J1546" s="5">
        <v>20</v>
      </c>
      <c r="K1546" s="10">
        <v>54</v>
      </c>
      <c r="L1546" s="14">
        <f t="shared" si="92"/>
        <v>1.3</v>
      </c>
      <c r="M1546" s="14">
        <f t="shared" si="93"/>
        <v>2.7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772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45473</v>
      </c>
      <c r="G1547" s="5">
        <v>2024</v>
      </c>
      <c r="H1547" s="5" t="s">
        <v>699</v>
      </c>
      <c r="I1547" s="6" t="s">
        <v>729</v>
      </c>
      <c r="J1547" s="5">
        <v>100</v>
      </c>
      <c r="K1547" s="10">
        <v>100</v>
      </c>
      <c r="L1547" s="14">
        <f t="shared" si="92"/>
        <v>1</v>
      </c>
      <c r="M1547" s="14">
        <f t="shared" si="93"/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2595</v>
      </c>
    </row>
    <row r="1548" spans="1:18" hidden="1" x14ac:dyDescent="0.3">
      <c r="A1548" s="21">
        <v>308</v>
      </c>
      <c r="B1548" s="5" t="s">
        <v>771</v>
      </c>
      <c r="C1548" s="5" t="s">
        <v>246</v>
      </c>
      <c r="D1548" s="5" t="s">
        <v>27</v>
      </c>
      <c r="E1548" s="5" t="s">
        <v>22</v>
      </c>
      <c r="F1548" s="71">
        <v>45657</v>
      </c>
      <c r="G1548" s="5">
        <v>2024</v>
      </c>
      <c r="H1548" s="5" t="s">
        <v>23</v>
      </c>
      <c r="I1548" s="6" t="s">
        <v>30</v>
      </c>
      <c r="J1548" s="5">
        <v>100</v>
      </c>
      <c r="K1548" s="10">
        <v>100</v>
      </c>
      <c r="L1548" s="14">
        <f t="shared" ref="L1548:L1579" si="94">IFERROR(IF(OR(J1548=0,K1548=""),"",IF(E1548="Positivo",MIN(MAX(K1548/J1548,0),1.3),MIN(MAX(J1548/K1548,0),1.3))),"")</f>
        <v>1</v>
      </c>
      <c r="M1548" s="14">
        <f t="shared" ref="M1548:M1579" si="95">IFERROR(IF(OR(J1548=0,K1548=""),"",IF(E1548="Positivo",MAX(K1548/J1548,0),MAX(J1548/K1548,0))),"")</f>
        <v>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773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45107</v>
      </c>
      <c r="G1549" s="5">
        <v>2023</v>
      </c>
      <c r="H1549" s="5" t="s">
        <v>699</v>
      </c>
      <c r="I1549" s="6" t="s">
        <v>1512</v>
      </c>
      <c r="J1549" s="5">
        <v>19</v>
      </c>
      <c r="K1549" s="10">
        <v>27</v>
      </c>
      <c r="L1549" s="14">
        <f t="shared" si="94"/>
        <v>1.3</v>
      </c>
      <c r="M1549" s="14">
        <f t="shared" si="95"/>
        <v>1.4210526315789473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2596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45291</v>
      </c>
      <c r="G1550" s="5">
        <v>2023</v>
      </c>
      <c r="H1550" s="5" t="s">
        <v>23</v>
      </c>
      <c r="I1550" s="6" t="s">
        <v>28</v>
      </c>
      <c r="J1550" s="5">
        <v>45</v>
      </c>
      <c r="K1550" s="9">
        <v>76</v>
      </c>
      <c r="L1550" s="14">
        <f t="shared" si="94"/>
        <v>1.3</v>
      </c>
      <c r="M1550" s="14">
        <f t="shared" si="95"/>
        <v>1.6888888888888889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775</v>
      </c>
    </row>
    <row r="1551" spans="1:18" hidden="1" x14ac:dyDescent="0.3">
      <c r="A1551" s="21">
        <v>309</v>
      </c>
      <c r="B1551" s="5" t="s">
        <v>774</v>
      </c>
      <c r="C1551" s="5" t="s">
        <v>246</v>
      </c>
      <c r="D1551" s="5" t="s">
        <v>27</v>
      </c>
      <c r="E1551" s="5" t="s">
        <v>22</v>
      </c>
      <c r="F1551" s="71">
        <v>45473</v>
      </c>
      <c r="G1551" s="5">
        <v>2024</v>
      </c>
      <c r="H1551" s="5" t="s">
        <v>699</v>
      </c>
      <c r="I1551" s="6" t="s">
        <v>729</v>
      </c>
      <c r="J1551" s="5">
        <v>100</v>
      </c>
      <c r="K1551" s="53">
        <v>216</v>
      </c>
      <c r="L1551" s="14">
        <f t="shared" si="94"/>
        <v>1.3</v>
      </c>
      <c r="M1551" s="14">
        <f t="shared" si="95"/>
        <v>2.16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2597</v>
      </c>
    </row>
    <row r="1552" spans="1:18" hidden="1" x14ac:dyDescent="0.3">
      <c r="A1552" s="21">
        <v>309</v>
      </c>
      <c r="B1552" s="5" t="s">
        <v>776</v>
      </c>
      <c r="C1552" s="5" t="s">
        <v>246</v>
      </c>
      <c r="D1552" s="5" t="s">
        <v>27</v>
      </c>
      <c r="E1552" s="5" t="s">
        <v>22</v>
      </c>
      <c r="F1552" s="71">
        <v>45657</v>
      </c>
      <c r="G1552" s="5">
        <v>2024</v>
      </c>
      <c r="H1552" s="5" t="s">
        <v>23</v>
      </c>
      <c r="I1552" s="6" t="s">
        <v>30</v>
      </c>
      <c r="J1552" s="5">
        <v>100</v>
      </c>
      <c r="K1552" s="54">
        <v>154.66999999999999</v>
      </c>
      <c r="L1552" s="14">
        <f t="shared" si="94"/>
        <v>1.3</v>
      </c>
      <c r="M1552" s="14">
        <f t="shared" si="95"/>
        <v>1.5467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45107</v>
      </c>
      <c r="G1553" s="5">
        <v>2023</v>
      </c>
      <c r="H1553" s="5" t="s">
        <v>699</v>
      </c>
      <c r="I1553" s="6" t="s">
        <v>1512</v>
      </c>
      <c r="J1553" s="5">
        <v>14</v>
      </c>
      <c r="K1553" s="53">
        <v>48</v>
      </c>
      <c r="L1553" s="14">
        <f t="shared" si="94"/>
        <v>1.3</v>
      </c>
      <c r="M1553" s="14">
        <f t="shared" si="95"/>
        <v>3.4285714285714284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2598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70</v>
      </c>
      <c r="K1554" s="53">
        <v>118</v>
      </c>
      <c r="L1554" s="14">
        <f t="shared" si="94"/>
        <v>1.3</v>
      </c>
      <c r="M1554" s="14">
        <f t="shared" si="95"/>
        <v>1.6857142857142857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779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45473</v>
      </c>
      <c r="G1555" s="5">
        <v>2024</v>
      </c>
      <c r="H1555" s="5" t="s">
        <v>699</v>
      </c>
      <c r="I1555" s="6" t="s">
        <v>729</v>
      </c>
      <c r="J1555" s="5">
        <v>100</v>
      </c>
      <c r="K1555" s="53">
        <v>95.56</v>
      </c>
      <c r="L1555" s="14">
        <f t="shared" si="94"/>
        <v>0.9556</v>
      </c>
      <c r="M1555" s="14">
        <f t="shared" si="95"/>
        <v>0.9556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2599</v>
      </c>
    </row>
    <row r="1556" spans="1:18" hidden="1" x14ac:dyDescent="0.3">
      <c r="A1556" s="21">
        <v>310</v>
      </c>
      <c r="B1556" s="5" t="s">
        <v>778</v>
      </c>
      <c r="C1556" s="5" t="s">
        <v>246</v>
      </c>
      <c r="D1556" s="5" t="s">
        <v>27</v>
      </c>
      <c r="E1556" s="5" t="s">
        <v>22</v>
      </c>
      <c r="F1556" s="71">
        <v>45657</v>
      </c>
      <c r="G1556" s="5">
        <v>2024</v>
      </c>
      <c r="H1556" s="5" t="s">
        <v>23</v>
      </c>
      <c r="I1556" s="6" t="s">
        <v>30</v>
      </c>
      <c r="J1556" s="5">
        <v>100</v>
      </c>
      <c r="K1556" s="53">
        <v>79.13</v>
      </c>
      <c r="L1556" s="14">
        <f t="shared" si="94"/>
        <v>0.7913</v>
      </c>
      <c r="M1556" s="14">
        <f t="shared" si="95"/>
        <v>0.7913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780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1512</v>
      </c>
      <c r="J1557" s="5">
        <v>22</v>
      </c>
      <c r="K1557" s="10">
        <v>85</v>
      </c>
      <c r="L1557" s="14">
        <f t="shared" si="94"/>
        <v>1.3</v>
      </c>
      <c r="M1557" s="14">
        <f t="shared" si="95"/>
        <v>3.8636363636363638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2600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245</v>
      </c>
      <c r="K1558" s="10">
        <v>247</v>
      </c>
      <c r="L1558" s="14">
        <f t="shared" si="94"/>
        <v>1.0081632653061225</v>
      </c>
      <c r="M1558" s="14">
        <f t="shared" si="95"/>
        <v>1.0081632653061225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782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45473</v>
      </c>
      <c r="G1559" s="5">
        <v>2024</v>
      </c>
      <c r="H1559" s="5" t="s">
        <v>699</v>
      </c>
      <c r="I1559" s="6" t="s">
        <v>729</v>
      </c>
      <c r="J1559" s="5">
        <v>100</v>
      </c>
      <c r="K1559" s="10">
        <v>117.65</v>
      </c>
      <c r="L1559" s="14">
        <f t="shared" si="94"/>
        <v>1.1765000000000001</v>
      </c>
      <c r="M1559" s="14">
        <f t="shared" si="95"/>
        <v>1.1765000000000001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2601</v>
      </c>
    </row>
    <row r="1560" spans="1:18" hidden="1" x14ac:dyDescent="0.3">
      <c r="A1560" s="21">
        <v>311</v>
      </c>
      <c r="B1560" s="5" t="s">
        <v>781</v>
      </c>
      <c r="C1560" s="5" t="s">
        <v>246</v>
      </c>
      <c r="D1560" s="5" t="s">
        <v>27</v>
      </c>
      <c r="E1560" s="5" t="s">
        <v>22</v>
      </c>
      <c r="F1560" s="71">
        <v>45657</v>
      </c>
      <c r="G1560" s="5">
        <v>2024</v>
      </c>
      <c r="H1560" s="5" t="s">
        <v>23</v>
      </c>
      <c r="I1560" s="6" t="s">
        <v>30</v>
      </c>
      <c r="J1560" s="5">
        <v>100</v>
      </c>
      <c r="K1560" s="9">
        <v>67.760000000000005</v>
      </c>
      <c r="L1560" s="14">
        <f t="shared" si="94"/>
        <v>0.67760000000000009</v>
      </c>
      <c r="M1560" s="14">
        <f t="shared" si="95"/>
        <v>0.67760000000000009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783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45107</v>
      </c>
      <c r="G1561" s="5">
        <v>2023</v>
      </c>
      <c r="H1561" s="5" t="s">
        <v>699</v>
      </c>
      <c r="I1561" s="6" t="s">
        <v>1512</v>
      </c>
      <c r="J1561" s="5">
        <v>113</v>
      </c>
      <c r="K1561" s="9">
        <v>125</v>
      </c>
      <c r="L1561" s="14">
        <f t="shared" si="94"/>
        <v>1.1061946902654867</v>
      </c>
      <c r="M1561" s="14">
        <f t="shared" si="95"/>
        <v>1.1061946902654867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2602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45291</v>
      </c>
      <c r="G1562" s="5">
        <v>2023</v>
      </c>
      <c r="H1562" s="5" t="s">
        <v>23</v>
      </c>
      <c r="I1562" s="6" t="s">
        <v>28</v>
      </c>
      <c r="J1562" s="5">
        <v>108</v>
      </c>
      <c r="K1562" s="9">
        <v>118</v>
      </c>
      <c r="L1562" s="14">
        <f t="shared" si="94"/>
        <v>1.0925925925925926</v>
      </c>
      <c r="M1562" s="14">
        <f t="shared" si="95"/>
        <v>1.0925925925925926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785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45473</v>
      </c>
      <c r="G1563" s="5">
        <v>2024</v>
      </c>
      <c r="H1563" s="5" t="s">
        <v>699</v>
      </c>
      <c r="I1563" s="6" t="s">
        <v>729</v>
      </c>
      <c r="J1563" s="5">
        <v>100</v>
      </c>
      <c r="K1563" s="9">
        <v>126</v>
      </c>
      <c r="L1563" s="14">
        <f t="shared" si="94"/>
        <v>1.26</v>
      </c>
      <c r="M1563" s="14">
        <f t="shared" si="95"/>
        <v>1.26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2603</v>
      </c>
    </row>
    <row r="1564" spans="1:18" hidden="1" x14ac:dyDescent="0.3">
      <c r="A1564" s="21">
        <v>312</v>
      </c>
      <c r="B1564" s="5" t="s">
        <v>784</v>
      </c>
      <c r="C1564" s="5" t="s">
        <v>246</v>
      </c>
      <c r="D1564" s="5" t="s">
        <v>27</v>
      </c>
      <c r="E1564" s="5" t="s">
        <v>22</v>
      </c>
      <c r="F1564" s="71">
        <v>45657</v>
      </c>
      <c r="G1564" s="5">
        <v>2024</v>
      </c>
      <c r="H1564" s="5" t="s">
        <v>23</v>
      </c>
      <c r="I1564" s="6" t="s">
        <v>30</v>
      </c>
      <c r="J1564" s="5">
        <v>100</v>
      </c>
      <c r="K1564" s="9">
        <v>137</v>
      </c>
      <c r="L1564" s="14">
        <f t="shared" si="94"/>
        <v>1.3</v>
      </c>
      <c r="M1564" s="14">
        <f t="shared" si="95"/>
        <v>1.37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786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45107</v>
      </c>
      <c r="G1565" s="5">
        <v>2023</v>
      </c>
      <c r="H1565" s="5" t="s">
        <v>699</v>
      </c>
      <c r="I1565" s="6" t="s">
        <v>1512</v>
      </c>
      <c r="J1565" s="5">
        <v>13</v>
      </c>
      <c r="K1565" s="10">
        <v>13</v>
      </c>
      <c r="L1565" s="14">
        <f t="shared" si="94"/>
        <v>1</v>
      </c>
      <c r="M1565" s="14">
        <f t="shared" si="95"/>
        <v>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2604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45291</v>
      </c>
      <c r="G1566" s="5">
        <v>2023</v>
      </c>
      <c r="H1566" s="5" t="s">
        <v>23</v>
      </c>
      <c r="I1566" s="6" t="s">
        <v>28</v>
      </c>
      <c r="J1566" s="5">
        <v>15</v>
      </c>
      <c r="K1566" s="9">
        <v>12</v>
      </c>
      <c r="L1566" s="14">
        <f t="shared" si="94"/>
        <v>0.8</v>
      </c>
      <c r="M1566" s="14">
        <f t="shared" si="95"/>
        <v>0.8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788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45473</v>
      </c>
      <c r="G1567" s="5">
        <v>2024</v>
      </c>
      <c r="H1567" s="5" t="s">
        <v>699</v>
      </c>
      <c r="I1567" s="6" t="s">
        <v>729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2605</v>
      </c>
    </row>
    <row r="1568" spans="1:18" hidden="1" x14ac:dyDescent="0.3">
      <c r="A1568" s="21">
        <v>313</v>
      </c>
      <c r="B1568" s="5" t="s">
        <v>787</v>
      </c>
      <c r="C1568" s="5" t="s">
        <v>246</v>
      </c>
      <c r="D1568" s="5" t="s">
        <v>27</v>
      </c>
      <c r="E1568" s="5" t="s">
        <v>22</v>
      </c>
      <c r="F1568" s="71">
        <v>45657</v>
      </c>
      <c r="G1568" s="5">
        <v>2024</v>
      </c>
      <c r="H1568" s="5" t="s">
        <v>23</v>
      </c>
      <c r="I1568" s="6" t="s">
        <v>30</v>
      </c>
      <c r="J1568" s="5">
        <v>100</v>
      </c>
      <c r="K1568" s="9">
        <v>100</v>
      </c>
      <c r="L1568" s="14">
        <f t="shared" si="94"/>
        <v>1</v>
      </c>
      <c r="M1568" s="14">
        <f t="shared" si="95"/>
        <v>1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789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45107</v>
      </c>
      <c r="G1569" s="5">
        <v>2023</v>
      </c>
      <c r="H1569" s="5" t="s">
        <v>699</v>
      </c>
      <c r="I1569" s="6" t="s">
        <v>1512</v>
      </c>
      <c r="J1569" s="5">
        <v>9</v>
      </c>
      <c r="K1569" s="9">
        <v>13</v>
      </c>
      <c r="L1569" s="14">
        <f t="shared" si="94"/>
        <v>1.3</v>
      </c>
      <c r="M1569" s="14">
        <f t="shared" si="95"/>
        <v>1.4444444444444444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2606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45291</v>
      </c>
      <c r="G1570" s="5">
        <v>2023</v>
      </c>
      <c r="H1570" s="5" t="s">
        <v>23</v>
      </c>
      <c r="I1570" s="6" t="s">
        <v>28</v>
      </c>
      <c r="J1570" s="5">
        <v>14</v>
      </c>
      <c r="K1570" s="9">
        <v>16</v>
      </c>
      <c r="L1570" s="14">
        <f t="shared" si="94"/>
        <v>1.1428571428571428</v>
      </c>
      <c r="M1570" s="14">
        <f t="shared" si="95"/>
        <v>1.1428571428571428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791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45473</v>
      </c>
      <c r="G1571" s="5">
        <v>2024</v>
      </c>
      <c r="H1571" s="5" t="s">
        <v>699</v>
      </c>
      <c r="I1571" s="6" t="s">
        <v>729</v>
      </c>
      <c r="J1571" s="5">
        <v>100</v>
      </c>
      <c r="K1571" s="10">
        <v>140</v>
      </c>
      <c r="L1571" s="14">
        <f t="shared" si="94"/>
        <v>1.3</v>
      </c>
      <c r="M1571" s="14">
        <f t="shared" si="95"/>
        <v>1.4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2607</v>
      </c>
    </row>
    <row r="1572" spans="1:18" hidden="1" x14ac:dyDescent="0.3">
      <c r="A1572" s="21">
        <v>314</v>
      </c>
      <c r="B1572" s="5" t="s">
        <v>790</v>
      </c>
      <c r="C1572" s="5" t="s">
        <v>246</v>
      </c>
      <c r="D1572" s="5" t="s">
        <v>27</v>
      </c>
      <c r="E1572" s="5" t="s">
        <v>22</v>
      </c>
      <c r="F1572" s="71">
        <v>45657</v>
      </c>
      <c r="G1572" s="5">
        <v>2024</v>
      </c>
      <c r="H1572" s="5" t="s">
        <v>23</v>
      </c>
      <c r="I1572" s="6" t="s">
        <v>30</v>
      </c>
      <c r="J1572" s="5">
        <v>100</v>
      </c>
      <c r="K1572" s="9">
        <v>145</v>
      </c>
      <c r="L1572" s="14">
        <f t="shared" si="94"/>
        <v>1.3</v>
      </c>
      <c r="M1572" s="14">
        <f t="shared" si="95"/>
        <v>1.45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792</v>
      </c>
    </row>
    <row r="1573" spans="1:18" hidden="1" x14ac:dyDescent="0.3">
      <c r="A1573" s="21">
        <v>315</v>
      </c>
      <c r="B1573" s="5" t="s">
        <v>793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5</v>
      </c>
      <c r="K1573" s="9">
        <v>7</v>
      </c>
      <c r="L1573" s="14">
        <f t="shared" si="94"/>
        <v>1.3</v>
      </c>
      <c r="M1573" s="14">
        <f t="shared" si="95"/>
        <v>1.4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699</v>
      </c>
      <c r="I1574" s="6" t="s">
        <v>1512</v>
      </c>
      <c r="J1574" s="5">
        <v>9</v>
      </c>
      <c r="K1574" s="9">
        <v>11</v>
      </c>
      <c r="L1574" s="14">
        <f t="shared" si="94"/>
        <v>1.2222222222222223</v>
      </c>
      <c r="M1574" s="14">
        <f t="shared" si="95"/>
        <v>1.2222222222222223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2609</v>
      </c>
    </row>
    <row r="1575" spans="1:18" hidden="1" x14ac:dyDescent="0.3">
      <c r="A1575" s="21">
        <v>316</v>
      </c>
      <c r="B1575" s="5" t="s">
        <v>797</v>
      </c>
      <c r="C1575" s="5" t="s">
        <v>246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9">
        <v>11</v>
      </c>
      <c r="L1575" s="14">
        <f t="shared" si="94"/>
        <v>0.91666666666666663</v>
      </c>
      <c r="M1575" s="14">
        <f t="shared" si="95"/>
        <v>0.91666666666666663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798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12</v>
      </c>
      <c r="K1576" s="12">
        <v>12</v>
      </c>
      <c r="L1576" s="14">
        <f t="shared" si="94"/>
        <v>1</v>
      </c>
      <c r="M1576" s="14">
        <f t="shared" si="95"/>
        <v>1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800</v>
      </c>
    </row>
    <row r="1577" spans="1:18" hidden="1" x14ac:dyDescent="0.3">
      <c r="A1577" s="21">
        <v>317</v>
      </c>
      <c r="B1577" s="5" t="s">
        <v>799</v>
      </c>
      <c r="C1577" s="5" t="s">
        <v>246</v>
      </c>
      <c r="D1577" s="5" t="s">
        <v>71</v>
      </c>
      <c r="E1577" s="5" t="s">
        <v>22</v>
      </c>
      <c r="F1577" s="79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12">
        <v>100</v>
      </c>
      <c r="L1577" s="14">
        <f t="shared" si="94"/>
        <v>1</v>
      </c>
      <c r="M1577" s="14">
        <f t="shared" si="95"/>
        <v>1</v>
      </c>
      <c r="N1577" s="5"/>
      <c r="O1577" s="5"/>
      <c r="P1577" s="15">
        <v>0</v>
      </c>
      <c r="Q1577" s="15">
        <v>0</v>
      </c>
      <c r="R1577" s="5" t="s">
        <v>801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45107</v>
      </c>
      <c r="G1578" s="5">
        <v>2023</v>
      </c>
      <c r="H1578" s="5" t="s">
        <v>699</v>
      </c>
      <c r="I1578" s="6" t="s">
        <v>1512</v>
      </c>
      <c r="J1578" s="5">
        <v>80</v>
      </c>
      <c r="K1578" s="12">
        <v>85.981308411214997</v>
      </c>
      <c r="L1578" s="14">
        <f t="shared" si="94"/>
        <v>1.0747663551401874</v>
      </c>
      <c r="M1578" s="14">
        <f t="shared" si="95"/>
        <v>1.0747663551401874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2610</v>
      </c>
    </row>
    <row r="1579" spans="1:18" hidden="1" x14ac:dyDescent="0.3">
      <c r="A1579" s="21">
        <v>318</v>
      </c>
      <c r="B1579" s="5" t="s">
        <v>802</v>
      </c>
      <c r="C1579" s="5" t="s">
        <v>246</v>
      </c>
      <c r="D1579" s="5" t="s">
        <v>27</v>
      </c>
      <c r="E1579" s="5" t="s">
        <v>22</v>
      </c>
      <c r="F1579" s="79">
        <v>45291</v>
      </c>
      <c r="G1579" s="5">
        <v>2023</v>
      </c>
      <c r="H1579" s="5" t="s">
        <v>23</v>
      </c>
      <c r="I1579" s="6" t="s">
        <v>28</v>
      </c>
      <c r="J1579" s="5">
        <v>80</v>
      </c>
      <c r="K1579" s="12">
        <v>90.909090909090907</v>
      </c>
      <c r="L1579" s="14">
        <f t="shared" si="94"/>
        <v>1.1363636363636362</v>
      </c>
      <c r="M1579" s="14">
        <f t="shared" si="95"/>
        <v>1.1363636363636362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803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45657</v>
      </c>
      <c r="G1580" s="5">
        <v>2024</v>
      </c>
      <c r="H1580" s="5" t="s">
        <v>23</v>
      </c>
      <c r="I1580" s="6" t="s">
        <v>30</v>
      </c>
      <c r="J1580" s="5">
        <v>80</v>
      </c>
      <c r="K1580" s="12">
        <v>90.28</v>
      </c>
      <c r="L1580" s="14">
        <f t="shared" ref="L1580:L1610" si="96">IFERROR(IF(OR(J1580=0,K1580=""),"",IF(E1580="Positivo",MIN(MAX(K1580/J1580,0),1.3),MIN(MAX(J1580/K1580,0),1.3))),"")</f>
        <v>1.1285000000000001</v>
      </c>
      <c r="M1580" s="14">
        <f t="shared" ref="M1580:M1610" si="97">IFERROR(IF(OR(J1580=0,K1580=""),"",IF(E1580="Positivo",MAX(K1580/J1580,0),MAX(J1580/K1580,0))),"")</f>
        <v>1.1285000000000001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805</v>
      </c>
    </row>
    <row r="1581" spans="1:18" hidden="1" x14ac:dyDescent="0.3">
      <c r="A1581" s="21">
        <v>318</v>
      </c>
      <c r="B1581" s="5" t="s">
        <v>804</v>
      </c>
      <c r="C1581" s="5" t="s">
        <v>246</v>
      </c>
      <c r="D1581" s="5" t="s">
        <v>71</v>
      </c>
      <c r="E1581" s="5" t="s">
        <v>22</v>
      </c>
      <c r="F1581" s="79">
        <v>46022</v>
      </c>
      <c r="G1581" s="5">
        <v>2025</v>
      </c>
      <c r="H1581" s="5" t="s">
        <v>23</v>
      </c>
      <c r="I1581" s="6" t="s">
        <v>32</v>
      </c>
      <c r="J1581" s="5">
        <v>85</v>
      </c>
      <c r="K1581" s="5">
        <v>86.16</v>
      </c>
      <c r="L1581" s="14">
        <f t="shared" si="96"/>
        <v>1.0136470588235293</v>
      </c>
      <c r="M1581" s="14">
        <f t="shared" si="97"/>
        <v>1.0136470588235293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806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45107</v>
      </c>
      <c r="G1582" s="5">
        <v>2023</v>
      </c>
      <c r="H1582" s="5" t="s">
        <v>699</v>
      </c>
      <c r="I1582" s="6" t="s">
        <v>1512</v>
      </c>
      <c r="J1582" s="5">
        <v>100</v>
      </c>
      <c r="K1582" s="9">
        <v>80</v>
      </c>
      <c r="L1582" s="14">
        <f t="shared" si="96"/>
        <v>0.8</v>
      </c>
      <c r="M1582" s="14">
        <f t="shared" si="97"/>
        <v>0.8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2611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45291</v>
      </c>
      <c r="G1583" s="5">
        <v>2023</v>
      </c>
      <c r="H1583" s="5" t="s">
        <v>23</v>
      </c>
      <c r="I1583" s="6" t="s">
        <v>28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808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45473</v>
      </c>
      <c r="G1584" s="5">
        <v>2024</v>
      </c>
      <c r="H1584" s="5" t="s">
        <v>699</v>
      </c>
      <c r="I1584" s="6" t="s">
        <v>729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2612</v>
      </c>
    </row>
    <row r="1585" spans="1:18" hidden="1" x14ac:dyDescent="0.3">
      <c r="A1585" s="21">
        <v>319</v>
      </c>
      <c r="B1585" s="5" t="s">
        <v>807</v>
      </c>
      <c r="C1585" s="5" t="s">
        <v>246</v>
      </c>
      <c r="D1585" s="5" t="s">
        <v>27</v>
      </c>
      <c r="E1585" s="5" t="s">
        <v>22</v>
      </c>
      <c r="F1585" s="79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9">
        <v>100</v>
      </c>
      <c r="L1585" s="14">
        <f t="shared" si="96"/>
        <v>1</v>
      </c>
      <c r="M1585" s="14">
        <f t="shared" si="97"/>
        <v>1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809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699</v>
      </c>
      <c r="I1586" s="6" t="s">
        <v>1512</v>
      </c>
      <c r="J1586" s="5">
        <v>26</v>
      </c>
      <c r="K1586" s="5">
        <v>12</v>
      </c>
      <c r="L1586" s="14">
        <f t="shared" si="96"/>
        <v>0.46153846153846156</v>
      </c>
      <c r="M1586" s="14">
        <f t="shared" si="97"/>
        <v>0.46153846153846156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2613</v>
      </c>
    </row>
    <row r="1587" spans="1:18" hidden="1" x14ac:dyDescent="0.3">
      <c r="A1587" s="21">
        <v>320</v>
      </c>
      <c r="B1587" s="5" t="s">
        <v>810</v>
      </c>
      <c r="C1587" s="5" t="s">
        <v>246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15</v>
      </c>
      <c r="K1587" s="5">
        <v>17</v>
      </c>
      <c r="L1587" s="14">
        <f t="shared" si="96"/>
        <v>1.1333333333333333</v>
      </c>
      <c r="M1587" s="14">
        <f t="shared" si="97"/>
        <v>1.1333333333333333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811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699</v>
      </c>
      <c r="I1588" s="6" t="s">
        <v>729</v>
      </c>
      <c r="J1588" s="5">
        <v>100</v>
      </c>
      <c r="K1588" s="5">
        <v>140</v>
      </c>
      <c r="L1588" s="14">
        <f t="shared" si="96"/>
        <v>1.3</v>
      </c>
      <c r="M1588" s="14">
        <f t="shared" si="97"/>
        <v>1.4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2614</v>
      </c>
    </row>
    <row r="1589" spans="1:18" hidden="1" x14ac:dyDescent="0.3">
      <c r="A1589" s="21">
        <v>320</v>
      </c>
      <c r="B1589" s="5" t="s">
        <v>812</v>
      </c>
      <c r="C1589" s="5" t="s">
        <v>246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5">
        <v>115</v>
      </c>
      <c r="L1589" s="14">
        <f t="shared" si="96"/>
        <v>1.1499999999999999</v>
      </c>
      <c r="M1589" s="14">
        <f t="shared" si="97"/>
        <v>1.1499999999999999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813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699</v>
      </c>
      <c r="I1590" s="6" t="s">
        <v>1512</v>
      </c>
      <c r="J1590" s="5">
        <v>180</v>
      </c>
      <c r="K1590" s="5">
        <v>236</v>
      </c>
      <c r="L1590" s="14">
        <f t="shared" si="96"/>
        <v>1.3</v>
      </c>
      <c r="M1590" s="14">
        <f t="shared" si="97"/>
        <v>1.3111111111111111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2615</v>
      </c>
    </row>
    <row r="1591" spans="1:18" hidden="1" x14ac:dyDescent="0.3">
      <c r="A1591" s="21">
        <v>321</v>
      </c>
      <c r="B1591" s="5" t="s">
        <v>814</v>
      </c>
      <c r="C1591" s="5" t="s">
        <v>246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180</v>
      </c>
      <c r="K1591" s="5">
        <v>231</v>
      </c>
      <c r="L1591" s="14">
        <f t="shared" si="96"/>
        <v>1.2833333333333334</v>
      </c>
      <c r="M1591" s="14">
        <f t="shared" si="97"/>
        <v>1.2833333333333334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815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699</v>
      </c>
      <c r="I1592" s="6" t="s">
        <v>729</v>
      </c>
      <c r="J1592" s="5">
        <v>100</v>
      </c>
      <c r="K1592" s="10">
        <v>106.52</v>
      </c>
      <c r="L1592" s="14">
        <f t="shared" si="96"/>
        <v>1.0651999999999999</v>
      </c>
      <c r="M1592" s="14">
        <f t="shared" si="97"/>
        <v>1.0651999999999999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2616</v>
      </c>
    </row>
    <row r="1593" spans="1:18" hidden="1" x14ac:dyDescent="0.3">
      <c r="A1593" s="21">
        <v>321</v>
      </c>
      <c r="B1593" s="5" t="s">
        <v>816</v>
      </c>
      <c r="C1593" s="5" t="s">
        <v>246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10">
        <v>502.17</v>
      </c>
      <c r="L1593" s="14">
        <f t="shared" si="96"/>
        <v>1.3</v>
      </c>
      <c r="M1593" s="14">
        <f t="shared" si="97"/>
        <v>5.0217000000000001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817</v>
      </c>
    </row>
    <row r="1594" spans="1:18" hidden="1" x14ac:dyDescent="0.3">
      <c r="A1594" s="21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699</v>
      </c>
      <c r="I1594" s="6" t="s">
        <v>1512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2617</v>
      </c>
    </row>
    <row r="1595" spans="1:18" hidden="1" x14ac:dyDescent="0.3">
      <c r="A1595" s="5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100</v>
      </c>
      <c r="K1595" s="5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5">
        <v>0</v>
      </c>
      <c r="Q1595" s="5">
        <v>0</v>
      </c>
      <c r="R1595" s="5" t="s">
        <v>820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699</v>
      </c>
      <c r="I1596" s="6" t="s">
        <v>729</v>
      </c>
      <c r="J1596" s="5">
        <v>100</v>
      </c>
      <c r="K1596" s="10">
        <v>100</v>
      </c>
      <c r="L1596" s="14">
        <f t="shared" si="96"/>
        <v>1</v>
      </c>
      <c r="M1596" s="14">
        <f t="shared" si="97"/>
        <v>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2618</v>
      </c>
    </row>
    <row r="1597" spans="1:18" hidden="1" x14ac:dyDescent="0.3">
      <c r="A1597" s="21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0</v>
      </c>
      <c r="L1597" s="14">
        <f t="shared" si="96"/>
        <v>0</v>
      </c>
      <c r="M1597" s="14">
        <f t="shared" si="97"/>
        <v>0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821</v>
      </c>
    </row>
    <row r="1598" spans="1:18" hidden="1" x14ac:dyDescent="0.3">
      <c r="A1598" s="26">
        <v>323</v>
      </c>
      <c r="B1598" s="5" t="s">
        <v>818</v>
      </c>
      <c r="C1598" s="5" t="s">
        <v>819</v>
      </c>
      <c r="D1598" s="5" t="s">
        <v>27</v>
      </c>
      <c r="E1598" s="5" t="s">
        <v>22</v>
      </c>
      <c r="F1598" s="71">
        <v>45838</v>
      </c>
      <c r="G1598" s="5">
        <v>2025</v>
      </c>
      <c r="H1598" s="5" t="s">
        <v>699</v>
      </c>
      <c r="I1598" s="6" t="s">
        <v>700</v>
      </c>
      <c r="J1598" s="5">
        <v>100</v>
      </c>
      <c r="K1598" s="9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2619</v>
      </c>
    </row>
    <row r="1599" spans="1:18" hidden="1" x14ac:dyDescent="0.3">
      <c r="A1599" s="21">
        <v>323</v>
      </c>
      <c r="B1599" s="5" t="s">
        <v>818</v>
      </c>
      <c r="C1599" s="5" t="s">
        <v>819</v>
      </c>
      <c r="D1599" s="5" t="s">
        <v>21</v>
      </c>
      <c r="E1599" s="5" t="s">
        <v>22</v>
      </c>
      <c r="F1599" s="71">
        <v>46022</v>
      </c>
      <c r="G1599" s="5">
        <v>2025</v>
      </c>
      <c r="H1599" s="5" t="s">
        <v>23</v>
      </c>
      <c r="I1599" s="6" t="s">
        <v>32</v>
      </c>
      <c r="J1599" s="5">
        <v>100</v>
      </c>
      <c r="K1599" s="10">
        <v>100</v>
      </c>
      <c r="L1599" s="14">
        <f t="shared" si="96"/>
        <v>1</v>
      </c>
      <c r="M1599" s="14">
        <f t="shared" si="97"/>
        <v>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822</v>
      </c>
    </row>
    <row r="1600" spans="1:18" hidden="1" x14ac:dyDescent="0.3">
      <c r="A1600" s="28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9">
        <v>0</v>
      </c>
      <c r="L1600" s="14">
        <f t="shared" si="96"/>
        <v>0</v>
      </c>
      <c r="M1600" s="14">
        <f t="shared" si="97"/>
        <v>0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2620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2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824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0</v>
      </c>
      <c r="L1602" s="14">
        <f t="shared" si="96"/>
        <v>0</v>
      </c>
      <c r="M1602" s="14">
        <f t="shared" si="97"/>
        <v>0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2621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825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10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2622</v>
      </c>
    </row>
    <row r="1605" spans="1:19" hidden="1" x14ac:dyDescent="0.3">
      <c r="A1605" s="21">
        <v>324</v>
      </c>
      <c r="B1605" s="5" t="s">
        <v>823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200</v>
      </c>
      <c r="L1605" s="14">
        <f t="shared" si="96"/>
        <v>1.3</v>
      </c>
      <c r="M1605" s="14">
        <f t="shared" si="97"/>
        <v>2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826</v>
      </c>
    </row>
    <row r="1606" spans="1:19" hidden="1" x14ac:dyDescent="0.3">
      <c r="A1606" s="5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5">
        <v>100</v>
      </c>
      <c r="L1606" s="14">
        <f t="shared" si="96"/>
        <v>1</v>
      </c>
      <c r="M1606" s="14">
        <f t="shared" si="97"/>
        <v>1</v>
      </c>
      <c r="N1606" s="5" t="s">
        <v>128</v>
      </c>
      <c r="O1606" s="5" t="s">
        <v>128</v>
      </c>
      <c r="P1606" s="5">
        <v>0</v>
      </c>
      <c r="Q1606" s="5">
        <v>0</v>
      </c>
      <c r="R1606" s="5" t="s">
        <v>2623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3">
        <v>0</v>
      </c>
      <c r="L1607" s="14">
        <f t="shared" si="96"/>
        <v>0</v>
      </c>
      <c r="M1607" s="14">
        <f t="shared" si="97"/>
        <v>0</v>
      </c>
      <c r="N1607" s="5"/>
      <c r="O1607" s="5"/>
      <c r="P1607" s="15">
        <v>0</v>
      </c>
      <c r="Q1607" s="15">
        <v>0</v>
      </c>
      <c r="R1607" s="5" t="s">
        <v>828</v>
      </c>
    </row>
    <row r="1608" spans="1:19" hidden="1" x14ac:dyDescent="0.3">
      <c r="A1608" s="21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2624</v>
      </c>
    </row>
    <row r="1609" spans="1:19" hidden="1" x14ac:dyDescent="0.3">
      <c r="A1609" s="5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5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5">
        <v>0</v>
      </c>
      <c r="Q1609" s="5">
        <v>0</v>
      </c>
      <c r="R1609" s="5" t="s">
        <v>829</v>
      </c>
    </row>
    <row r="1610" spans="1:19" hidden="1" x14ac:dyDescent="0.3">
      <c r="A1610" s="21">
        <v>325</v>
      </c>
      <c r="B1610" s="5" t="s">
        <v>827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8</v>
      </c>
      <c r="K1610" s="10">
        <v>100</v>
      </c>
      <c r="L1610" s="14">
        <f t="shared" si="96"/>
        <v>1.3</v>
      </c>
      <c r="M1610" s="14">
        <f t="shared" si="97"/>
        <v>12.5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2625</v>
      </c>
    </row>
    <row r="1611" spans="1:19" hidden="1" x14ac:dyDescent="0.3">
      <c r="A1611" s="5">
        <v>325</v>
      </c>
      <c r="B1611" s="5" t="s">
        <v>2626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4</v>
      </c>
      <c r="K1611" s="5">
        <v>100</v>
      </c>
      <c r="L1611" s="14"/>
      <c r="M1611" s="14"/>
      <c r="N1611" s="5" t="s">
        <v>128</v>
      </c>
      <c r="O1611" s="5" t="s">
        <v>128</v>
      </c>
      <c r="P1611" s="5">
        <v>0</v>
      </c>
      <c r="Q1611" s="5">
        <v>0</v>
      </c>
      <c r="R1611" s="5" t="s">
        <v>830</v>
      </c>
      <c r="S1611" t="s">
        <v>263</v>
      </c>
    </row>
    <row r="1612" spans="1:19" hidden="1" x14ac:dyDescent="0.3">
      <c r="A1612" s="21">
        <v>326</v>
      </c>
      <c r="B1612" s="5" t="s">
        <v>831</v>
      </c>
      <c r="C1612" s="5" t="s">
        <v>644</v>
      </c>
      <c r="D1612" s="5" t="s">
        <v>71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100</v>
      </c>
      <c r="K1612" s="10">
        <v>100</v>
      </c>
      <c r="L1612" s="14">
        <f>IFERROR(IF(OR(J1612=0,K1612=""),"",IF(E1612="Positivo",MIN(MAX(K1612/J1612,0),1.3),MIN(MAX(J1612/K1612,0),1.3))),"")</f>
        <v>1</v>
      </c>
      <c r="M1612" s="14">
        <f>IFERROR(IF(OR(J1612=0,K1612=""),"",IF(E1612="Positivo",MAX(K1612/J1612,0),MAX(J1612/K1612,0))),"")</f>
        <v>1</v>
      </c>
      <c r="N1612" s="5" t="s">
        <v>136</v>
      </c>
      <c r="O1612" s="5" t="s">
        <v>136</v>
      </c>
      <c r="P1612" s="15">
        <v>0</v>
      </c>
      <c r="Q1612" s="15">
        <v>0</v>
      </c>
      <c r="R1612" s="5" t="s">
        <v>832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45657</v>
      </c>
      <c r="G1613" s="5">
        <v>2024</v>
      </c>
      <c r="H1613" s="5" t="s">
        <v>23</v>
      </c>
      <c r="I1613" s="6" t="s">
        <v>30</v>
      </c>
      <c r="J1613" s="5">
        <v>0</v>
      </c>
      <c r="K1613" s="10">
        <v>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834</v>
      </c>
      <c r="S1613" t="s">
        <v>263</v>
      </c>
    </row>
    <row r="1614" spans="1:19" hidden="1" x14ac:dyDescent="0.3">
      <c r="A1614" s="21">
        <v>326</v>
      </c>
      <c r="B1614" s="5" t="s">
        <v>833</v>
      </c>
      <c r="C1614" s="5" t="s">
        <v>644</v>
      </c>
      <c r="D1614" s="5" t="s">
        <v>71</v>
      </c>
      <c r="E1614" s="5" t="s">
        <v>22</v>
      </c>
      <c r="F1614" s="71">
        <v>46022</v>
      </c>
      <c r="G1614" s="5">
        <v>2025</v>
      </c>
      <c r="H1614" s="5" t="s">
        <v>23</v>
      </c>
      <c r="I1614" s="6" t="s">
        <v>32</v>
      </c>
      <c r="J1614" s="5">
        <v>3</v>
      </c>
      <c r="K1614" s="10">
        <v>100</v>
      </c>
      <c r="L1614" s="14"/>
      <c r="M1614" s="14"/>
      <c r="N1614" s="5" t="s">
        <v>128</v>
      </c>
      <c r="O1614" s="5" t="s">
        <v>128</v>
      </c>
      <c r="P1614" s="15">
        <v>0</v>
      </c>
      <c r="Q1614" s="15">
        <v>0</v>
      </c>
      <c r="R1614" s="5" t="s">
        <v>835</v>
      </c>
      <c r="S1614" t="s">
        <v>263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699</v>
      </c>
      <c r="I1615" s="6" t="s">
        <v>1512</v>
      </c>
      <c r="J1615" s="5">
        <v>100</v>
      </c>
      <c r="K1615" s="10">
        <v>0</v>
      </c>
      <c r="L1615" s="14">
        <f>IFERROR(IF(OR(J1615=0,K1615=""),"",IF(E1615="Positivo",MIN(MAX(K1615/J1615,0),1.3),MIN(MAX(J1615/K1615,0),1.3))),"")</f>
        <v>0</v>
      </c>
      <c r="M1615" s="14">
        <f>IFERROR(IF(OR(J1615=0,K1615=""),"",IF(E1615="Positivo",MAX(K1615/J1615,0),MAX(J1615/K1615,0))),"")</f>
        <v>0</v>
      </c>
      <c r="N1615" s="5"/>
      <c r="O1615" s="5"/>
      <c r="P1615" s="15">
        <v>0</v>
      </c>
      <c r="Q1615" s="15">
        <v>0</v>
      </c>
      <c r="R1615" s="5" t="s">
        <v>2627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100</v>
      </c>
      <c r="K1616" s="10">
        <v>100</v>
      </c>
      <c r="L1616" s="14">
        <f>IFERROR(IF(OR(J1616=0,K1616=""),"",IF(E1616="Positivo",MIN(MAX(K1616/J1616,0),1.3),MIN(MAX(J1616/K1616,0),1.3))),"")</f>
        <v>1</v>
      </c>
      <c r="M1616" s="14">
        <f>IFERROR(IF(OR(J1616=0,K1616=""),"",IF(E1616="Positivo",MAX(K1616/J1616,0),MAX(J1616/K1616,0))),"")</f>
        <v>1</v>
      </c>
      <c r="N1616" s="5"/>
      <c r="O1616" s="5"/>
      <c r="P1616" s="15">
        <v>0</v>
      </c>
      <c r="Q1616" s="15">
        <v>0</v>
      </c>
      <c r="R1616" s="5" t="s">
        <v>837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699</v>
      </c>
      <c r="I1617" s="6" t="s">
        <v>729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2628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0</v>
      </c>
      <c r="L1618" s="14">
        <f>IFERROR(IF(OR(J1618=0,K1618=""),"",IF(E1618="Positivo",MIN(MAX(K1618/J1618,0),1.3),MIN(MAX(J1618/K1618,0),1.3))),"")</f>
        <v>0</v>
      </c>
      <c r="M1618" s="14">
        <f>IFERROR(IF(OR(J1618=0,K1618=""),"",IF(E1618="Positivo",MAX(K1618/J1618,0),MAX(J1618/K1618,0))),"")</f>
        <v>0</v>
      </c>
      <c r="N1618" s="5"/>
      <c r="O1618" s="5"/>
      <c r="P1618" s="15">
        <v>0</v>
      </c>
      <c r="Q1618" s="15">
        <v>0</v>
      </c>
      <c r="R1618" s="5" t="s">
        <v>838</v>
      </c>
    </row>
    <row r="1619" spans="1:19" hidden="1" x14ac:dyDescent="0.3">
      <c r="A1619" s="21">
        <v>327</v>
      </c>
      <c r="B1619" s="5" t="s">
        <v>836</v>
      </c>
      <c r="C1619" s="5" t="s">
        <v>644</v>
      </c>
      <c r="D1619" s="5" t="s">
        <v>27</v>
      </c>
      <c r="E1619" s="5" t="s">
        <v>22</v>
      </c>
      <c r="F1619" s="71">
        <v>45838</v>
      </c>
      <c r="G1619" s="5">
        <v>2025</v>
      </c>
      <c r="H1619" s="5" t="s">
        <v>699</v>
      </c>
      <c r="I1619" s="6" t="s">
        <v>700</v>
      </c>
      <c r="J1619" s="5">
        <v>100</v>
      </c>
      <c r="K1619" s="10">
        <v>100</v>
      </c>
      <c r="L1619" s="14">
        <f>IFERROR(IF(OR(J1619=0,K1619=""),"",IF(E1619="Positivo",MIN(MAX(K1619/J1619,0),1.3),MIN(MAX(J1619/K1619,0),1.3))),"")</f>
        <v>1</v>
      </c>
      <c r="M1619" s="14">
        <f>IFERROR(IF(OR(J1619=0,K1619=""),"",IF(E1619="Positivo",MAX(K1619/J1619,0),MAX(J1619/K1619,0))),"")</f>
        <v>1</v>
      </c>
      <c r="N1619" s="5" t="s">
        <v>128</v>
      </c>
      <c r="O1619" s="5" t="s">
        <v>128</v>
      </c>
      <c r="P1619" s="15">
        <v>0</v>
      </c>
      <c r="Q1619" s="15">
        <v>0</v>
      </c>
      <c r="R1619" s="5" t="s">
        <v>2629</v>
      </c>
    </row>
    <row r="1620" spans="1:19" hidden="1" x14ac:dyDescent="0.3">
      <c r="A1620" s="5">
        <v>327</v>
      </c>
      <c r="B1620" s="5" t="s">
        <v>839</v>
      </c>
      <c r="C1620" s="5" t="s">
        <v>644</v>
      </c>
      <c r="D1620" s="5" t="s">
        <v>21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100</v>
      </c>
      <c r="K1620" s="5">
        <v>100</v>
      </c>
      <c r="L1620" s="14"/>
      <c r="M1620" s="14"/>
      <c r="N1620" s="5" t="s">
        <v>128</v>
      </c>
      <c r="O1620" s="5" t="s">
        <v>128</v>
      </c>
      <c r="P1620" s="5">
        <v>0</v>
      </c>
      <c r="Q1620" s="5">
        <v>0</v>
      </c>
      <c r="R1620" s="5" t="s">
        <v>840</v>
      </c>
      <c r="S1620" t="s">
        <v>263</v>
      </c>
    </row>
    <row r="1621" spans="1:19" hidden="1" x14ac:dyDescent="0.3">
      <c r="A1621" s="5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800</v>
      </c>
      <c r="K1621" s="5">
        <v>1035</v>
      </c>
      <c r="L1621" s="14">
        <f>IFERROR(IF(OR(J1621=0,K1621=""),"",IF(E1621="Positivo",MIN(MAX(K1621/J1621,0),1.3),MIN(MAX(J1621/K1621,0),1.3))),"")</f>
        <v>1.29375</v>
      </c>
      <c r="M1621" s="14">
        <f>IFERROR(IF(OR(J1621=0,K1621=""),"",IF(E1621="Positivo",MAX(K1621/J1621,0),MAX(J1621/K1621,0))),"")</f>
        <v>1.29375</v>
      </c>
      <c r="N1621" s="5"/>
      <c r="O1621" s="5"/>
      <c r="P1621" s="5">
        <v>0</v>
      </c>
      <c r="Q1621" s="5">
        <v>0</v>
      </c>
      <c r="R1621" s="5" t="s">
        <v>843</v>
      </c>
    </row>
    <row r="1622" spans="1:19" hidden="1" x14ac:dyDescent="0.3">
      <c r="A1622" s="21">
        <v>328</v>
      </c>
      <c r="B1622" s="5" t="s">
        <v>841</v>
      </c>
      <c r="C1622" s="5" t="s">
        <v>842</v>
      </c>
      <c r="D1622" s="5" t="s">
        <v>71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157</v>
      </c>
      <c r="L1622" s="14">
        <f>IFERROR(IF(OR(J1622=0,K1622=""),"",IF(E1622="Positivo",MIN(MAX(K1622/J1622,0),1.3),MIN(MAX(J1622/K1622,0),1.3))),"")</f>
        <v>1.3</v>
      </c>
      <c r="M1622" s="14">
        <f>IFERROR(IF(OR(J1622=0,K1622=""),"",IF(E1622="Positivo",MAX(K1622/J1622,0),MAX(J1622/K1622,0))),"")</f>
        <v>1.57</v>
      </c>
      <c r="N1622" s="5"/>
      <c r="O1622" s="5"/>
      <c r="P1622" s="15">
        <v>0</v>
      </c>
      <c r="Q1622" s="15">
        <v>0</v>
      </c>
      <c r="R1622" s="5" t="s">
        <v>844</v>
      </c>
    </row>
    <row r="1623" spans="1:19" hidden="1" x14ac:dyDescent="0.3">
      <c r="A1623" s="5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45291</v>
      </c>
      <c r="G1623" s="5">
        <v>2023</v>
      </c>
      <c r="H1623" s="5" t="s">
        <v>23</v>
      </c>
      <c r="I1623" s="6" t="s">
        <v>28</v>
      </c>
      <c r="J1623" s="5">
        <v>3000</v>
      </c>
      <c r="K1623" s="5">
        <v>3315</v>
      </c>
      <c r="L1623" s="14">
        <f>IFERROR(IF(OR(J1623=0,K1623=""),"",IF(E1623="Positivo",MIN(MAX(K1623/J1623,0),1.3),MIN(MAX(J1623/K1623,0),1.3))),"")</f>
        <v>1.105</v>
      </c>
      <c r="M1623" s="14">
        <f>IFERROR(IF(OR(J1623=0,K1623=""),"",IF(E1623="Positivo",MAX(K1623/J1623,0),MAX(J1623/K1623,0))),"")</f>
        <v>1.105</v>
      </c>
      <c r="N1623" s="5"/>
      <c r="O1623" s="5"/>
      <c r="P1623" s="5">
        <v>0</v>
      </c>
      <c r="Q1623" s="5">
        <v>0</v>
      </c>
      <c r="R1623" s="5" t="s">
        <v>846</v>
      </c>
    </row>
    <row r="1624" spans="1:19" hidden="1" x14ac:dyDescent="0.3">
      <c r="A1624" s="21">
        <v>329</v>
      </c>
      <c r="B1624" s="5" t="s">
        <v>845</v>
      </c>
      <c r="C1624" s="5" t="s">
        <v>842</v>
      </c>
      <c r="D1624" s="5" t="s">
        <v>71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73">
        <v>100</v>
      </c>
      <c r="K1624" s="9">
        <v>106.63</v>
      </c>
      <c r="L1624" s="14">
        <f>IFERROR(IF(OR(J1624=0,K1624=""),"",IF(E1624="Positivo",MIN(MAX(K1624/J1624,0),1.3),MIN(MAX(J1624/K1624,0),1.3))),"")</f>
        <v>1.0663</v>
      </c>
      <c r="M1624" s="14">
        <f>IFERROR(IF(OR(J1624=0,K1624=""),"",IF(E1624="Positivo",MAX(K1624/J1624,0),MAX(J1624/K1624,0))),"")</f>
        <v>1.0663</v>
      </c>
      <c r="N1624" s="9"/>
      <c r="O1624" s="9"/>
      <c r="P1624" s="15">
        <v>0</v>
      </c>
      <c r="Q1624" s="15">
        <v>0</v>
      </c>
      <c r="R1624" s="5" t="s">
        <v>847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45291</v>
      </c>
      <c r="G1625" s="5">
        <v>2023</v>
      </c>
      <c r="H1625" s="5" t="s">
        <v>23</v>
      </c>
      <c r="I1625" s="6" t="s">
        <v>28</v>
      </c>
      <c r="J1625" s="73"/>
      <c r="K1625" s="9">
        <v>81</v>
      </c>
      <c r="L1625" s="8"/>
      <c r="M1625" s="8"/>
      <c r="N1625" s="9" t="s">
        <v>355</v>
      </c>
      <c r="O1625" s="9" t="s">
        <v>25</v>
      </c>
      <c r="P1625" s="15">
        <v>0</v>
      </c>
      <c r="Q1625" s="15">
        <v>0</v>
      </c>
      <c r="R1625" s="5" t="s">
        <v>849</v>
      </c>
    </row>
    <row r="1626" spans="1:19" hidden="1" x14ac:dyDescent="0.3">
      <c r="A1626" s="21">
        <v>331</v>
      </c>
      <c r="B1626" s="5" t="s">
        <v>848</v>
      </c>
      <c r="C1626" s="5" t="s">
        <v>842</v>
      </c>
      <c r="D1626" s="5" t="s">
        <v>71</v>
      </c>
      <c r="E1626" s="5" t="s">
        <v>22</v>
      </c>
      <c r="F1626" s="71">
        <v>45657</v>
      </c>
      <c r="G1626" s="5">
        <v>2024</v>
      </c>
      <c r="H1626" s="5" t="s">
        <v>23</v>
      </c>
      <c r="I1626" s="6" t="s">
        <v>30</v>
      </c>
      <c r="J1626" s="73">
        <v>0</v>
      </c>
      <c r="K1626" s="9">
        <v>82</v>
      </c>
      <c r="L1626" s="14" t="str">
        <f t="shared" ref="L1626:L1640" si="98">IFERROR(IF(OR(J1626=0,K1626=""),"",IF(E1626="Positivo",MIN(MAX(K1626/J1626,0),1.3),MIN(MAX(J1626/K1626,0),1.3))),"")</f>
        <v/>
      </c>
      <c r="M1626" s="14" t="str">
        <f t="shared" ref="M1626:M1640" si="99">IFERROR(IF(OR(J1626=0,K1626=""),"",IF(E1626="Positivo",MAX(K1626/J1626,0),MAX(J1626/K1626,0))),"")</f>
        <v/>
      </c>
      <c r="N1626" s="9" t="s">
        <v>355</v>
      </c>
      <c r="O1626" s="9" t="s">
        <v>25</v>
      </c>
      <c r="P1626" s="15">
        <v>0</v>
      </c>
      <c r="Q1626" s="15">
        <v>0</v>
      </c>
      <c r="R1626" s="5" t="s">
        <v>850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45107</v>
      </c>
      <c r="G1627" s="5">
        <v>2023</v>
      </c>
      <c r="H1627" s="5" t="s">
        <v>699</v>
      </c>
      <c r="I1627" s="6" t="s">
        <v>1512</v>
      </c>
      <c r="J1627" s="73">
        <v>1.8</v>
      </c>
      <c r="K1627" s="9">
        <v>1.57</v>
      </c>
      <c r="L1627" s="14">
        <f t="shared" si="98"/>
        <v>1.1464968152866242</v>
      </c>
      <c r="M1627" s="14">
        <f t="shared" si="99"/>
        <v>1.1464968152866242</v>
      </c>
      <c r="N1627" s="9" t="s">
        <v>25</v>
      </c>
      <c r="O1627" s="9" t="s">
        <v>25</v>
      </c>
      <c r="P1627" s="15">
        <v>2</v>
      </c>
      <c r="Q1627" s="15">
        <v>2</v>
      </c>
      <c r="R1627" s="5" t="s">
        <v>2630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45291</v>
      </c>
      <c r="G1628" s="5">
        <v>2023</v>
      </c>
      <c r="H1628" s="5" t="s">
        <v>23</v>
      </c>
      <c r="I1628" s="6" t="s">
        <v>28</v>
      </c>
      <c r="J1628" s="73">
        <v>1.8</v>
      </c>
      <c r="K1628" s="9">
        <v>1.3</v>
      </c>
      <c r="L1628" s="14">
        <f t="shared" si="98"/>
        <v>1.3</v>
      </c>
      <c r="M1628" s="14">
        <f t="shared" si="99"/>
        <v>1.3846153846153846</v>
      </c>
      <c r="N1628" s="9" t="s">
        <v>25</v>
      </c>
      <c r="O1628" s="9" t="s">
        <v>25</v>
      </c>
      <c r="P1628" s="15">
        <v>1</v>
      </c>
      <c r="Q1628" s="15">
        <v>1</v>
      </c>
      <c r="R1628" s="5" t="s">
        <v>852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45473</v>
      </c>
      <c r="G1629" s="5">
        <v>2024</v>
      </c>
      <c r="H1629" s="5" t="s">
        <v>699</v>
      </c>
      <c r="I1629" s="6" t="s">
        <v>729</v>
      </c>
      <c r="J1629" s="73">
        <v>1.5</v>
      </c>
      <c r="K1629" s="9">
        <v>1.48</v>
      </c>
      <c r="L1629" s="14">
        <f t="shared" si="98"/>
        <v>1.0135135135135136</v>
      </c>
      <c r="M1629" s="14">
        <f t="shared" si="99"/>
        <v>1.0135135135135136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2631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1.8</v>
      </c>
      <c r="K1630" s="9">
        <v>0.82</v>
      </c>
      <c r="L1630" s="14">
        <f t="shared" si="98"/>
        <v>1.3</v>
      </c>
      <c r="M1630" s="14">
        <f t="shared" si="99"/>
        <v>2.1951219512195124</v>
      </c>
      <c r="N1630" s="9" t="s">
        <v>25</v>
      </c>
      <c r="O1630" s="9" t="s">
        <v>25</v>
      </c>
      <c r="P1630" s="15">
        <v>2</v>
      </c>
      <c r="Q1630" s="15">
        <v>2</v>
      </c>
      <c r="R1630" s="5" t="s">
        <v>853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27</v>
      </c>
      <c r="E1631" s="5" t="s">
        <v>41</v>
      </c>
      <c r="F1631" s="71">
        <v>45838</v>
      </c>
      <c r="G1631" s="5">
        <v>2025</v>
      </c>
      <c r="H1631" s="5" t="s">
        <v>699</v>
      </c>
      <c r="I1631" s="6" t="s">
        <v>700</v>
      </c>
      <c r="J1631" s="5">
        <v>1.18</v>
      </c>
      <c r="K1631" s="10">
        <v>0.85</v>
      </c>
      <c r="L1631" s="14">
        <f t="shared" si="98"/>
        <v>1.3</v>
      </c>
      <c r="M1631" s="14">
        <f t="shared" si="99"/>
        <v>1.388235294117647</v>
      </c>
      <c r="N1631" s="5" t="s">
        <v>25</v>
      </c>
      <c r="O1631" s="5" t="s">
        <v>25</v>
      </c>
      <c r="P1631" s="15">
        <v>2</v>
      </c>
      <c r="Q1631" s="15">
        <v>2</v>
      </c>
      <c r="R1631" s="5" t="s">
        <v>2632</v>
      </c>
    </row>
    <row r="1632" spans="1:19" hidden="1" x14ac:dyDescent="0.3">
      <c r="A1632" s="21">
        <v>332</v>
      </c>
      <c r="B1632" s="5" t="s">
        <v>851</v>
      </c>
      <c r="C1632" s="5" t="s">
        <v>40</v>
      </c>
      <c r="D1632" s="5" t="s">
        <v>21</v>
      </c>
      <c r="E1632" s="5" t="s">
        <v>41</v>
      </c>
      <c r="F1632" s="71">
        <v>46022</v>
      </c>
      <c r="G1632" s="5">
        <v>2025</v>
      </c>
      <c r="H1632" s="5" t="s">
        <v>23</v>
      </c>
      <c r="I1632" s="6" t="s">
        <v>32</v>
      </c>
      <c r="J1632" s="5">
        <v>1.18</v>
      </c>
      <c r="K1632" s="10">
        <v>0.93</v>
      </c>
      <c r="L1632" s="14">
        <f t="shared" si="98"/>
        <v>1.268817204301075</v>
      </c>
      <c r="M1632" s="14">
        <f t="shared" si="99"/>
        <v>1.268817204301075</v>
      </c>
      <c r="N1632" s="5" t="s">
        <v>136</v>
      </c>
      <c r="O1632" s="5" t="s">
        <v>136</v>
      </c>
      <c r="P1632" s="15">
        <v>2</v>
      </c>
      <c r="Q1632" s="15">
        <v>2</v>
      </c>
      <c r="R1632" s="5" t="s">
        <v>854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88</v>
      </c>
      <c r="K1633" s="5">
        <v>88.39</v>
      </c>
      <c r="L1633" s="14">
        <f t="shared" si="98"/>
        <v>1.0044318181818181</v>
      </c>
      <c r="M1633" s="14">
        <f t="shared" si="99"/>
        <v>1.0044318181818181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856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88</v>
      </c>
      <c r="K1634" s="5">
        <v>88.84</v>
      </c>
      <c r="L1634" s="14">
        <f t="shared" si="98"/>
        <v>1.0095454545454545</v>
      </c>
      <c r="M1634" s="14">
        <f t="shared" si="99"/>
        <v>1.0095454545454545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857</v>
      </c>
    </row>
    <row r="1635" spans="1:19" hidden="1" x14ac:dyDescent="0.3">
      <c r="A1635" s="5">
        <v>334</v>
      </c>
      <c r="B1635" s="5" t="s">
        <v>855</v>
      </c>
      <c r="C1635" s="5" t="s">
        <v>40</v>
      </c>
      <c r="D1635" s="5" t="s">
        <v>71</v>
      </c>
      <c r="E1635" s="5" t="s">
        <v>22</v>
      </c>
      <c r="F1635" s="71">
        <v>46022</v>
      </c>
      <c r="G1635" s="5">
        <v>2025</v>
      </c>
      <c r="H1635" s="5" t="s">
        <v>23</v>
      </c>
      <c r="I1635" s="6" t="s">
        <v>32</v>
      </c>
      <c r="J1635" s="5">
        <v>89</v>
      </c>
      <c r="K1635" s="5">
        <v>90.1</v>
      </c>
      <c r="L1635" s="14">
        <f t="shared" si="98"/>
        <v>1.0123595505617977</v>
      </c>
      <c r="M1635" s="14">
        <f t="shared" si="99"/>
        <v>1.0123595505617977</v>
      </c>
      <c r="N1635" s="5" t="s">
        <v>128</v>
      </c>
      <c r="O1635" s="5" t="s">
        <v>136</v>
      </c>
      <c r="P1635" s="5">
        <v>0</v>
      </c>
      <c r="Q1635" s="5">
        <v>1</v>
      </c>
      <c r="R1635" s="5" t="s">
        <v>858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45291</v>
      </c>
      <c r="G1636" s="5">
        <v>2023</v>
      </c>
      <c r="H1636" s="5" t="s">
        <v>23</v>
      </c>
      <c r="I1636" s="6" t="s">
        <v>28</v>
      </c>
      <c r="J1636" s="5">
        <v>80</v>
      </c>
      <c r="K1636" s="12">
        <v>93.85</v>
      </c>
      <c r="L1636" s="14">
        <f t="shared" si="98"/>
        <v>1.173125</v>
      </c>
      <c r="M1636" s="14">
        <f t="shared" si="99"/>
        <v>1.173125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860</v>
      </c>
    </row>
    <row r="1637" spans="1:19" hidden="1" x14ac:dyDescent="0.3">
      <c r="A1637" s="21">
        <v>335</v>
      </c>
      <c r="B1637" s="5" t="s">
        <v>859</v>
      </c>
      <c r="C1637" s="5" t="s">
        <v>40</v>
      </c>
      <c r="D1637" s="5" t="s">
        <v>71</v>
      </c>
      <c r="E1637" s="5" t="s">
        <v>22</v>
      </c>
      <c r="F1637" s="71">
        <v>45657</v>
      </c>
      <c r="G1637" s="5">
        <v>2024</v>
      </c>
      <c r="H1637" s="5" t="s">
        <v>23</v>
      </c>
      <c r="I1637" s="6" t="s">
        <v>30</v>
      </c>
      <c r="J1637" s="5">
        <v>82</v>
      </c>
      <c r="K1637" s="10">
        <v>80.95</v>
      </c>
      <c r="L1637" s="14">
        <f t="shared" si="98"/>
        <v>0.9871951219512195</v>
      </c>
      <c r="M1637" s="14">
        <f t="shared" si="99"/>
        <v>0.9871951219512195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861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2</v>
      </c>
      <c r="K1638" s="12">
        <v>1.742198218602321</v>
      </c>
      <c r="L1638" s="14">
        <f t="shared" si="98"/>
        <v>1.1479750000000002</v>
      </c>
      <c r="M1638" s="14">
        <f t="shared" si="99"/>
        <v>1.1479750000000002</v>
      </c>
      <c r="N1638" s="5" t="s">
        <v>25</v>
      </c>
      <c r="O1638" s="5" t="s">
        <v>25</v>
      </c>
      <c r="P1638" s="15">
        <v>0</v>
      </c>
      <c r="Q1638" s="15">
        <v>0</v>
      </c>
      <c r="R1638" s="5" t="s">
        <v>863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2</v>
      </c>
      <c r="K1639" s="12">
        <v>0.79</v>
      </c>
      <c r="L1639" s="14">
        <f t="shared" si="98"/>
        <v>1.3</v>
      </c>
      <c r="M1639" s="14">
        <f t="shared" si="99"/>
        <v>2.5316455696202529</v>
      </c>
      <c r="N1639" s="5"/>
      <c r="O1639" s="5"/>
      <c r="P1639" s="15">
        <v>0</v>
      </c>
      <c r="Q1639" s="15">
        <v>0</v>
      </c>
      <c r="R1639" s="5" t="s">
        <v>864</v>
      </c>
    </row>
    <row r="1640" spans="1:19" hidden="1" x14ac:dyDescent="0.3">
      <c r="A1640" s="21">
        <v>336</v>
      </c>
      <c r="B1640" s="5" t="s">
        <v>862</v>
      </c>
      <c r="C1640" s="5" t="s">
        <v>254</v>
      </c>
      <c r="D1640" s="5" t="s">
        <v>71</v>
      </c>
      <c r="E1640" s="5" t="s">
        <v>41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2</v>
      </c>
      <c r="K1640" s="12">
        <v>0.36</v>
      </c>
      <c r="L1640" s="14">
        <f t="shared" si="98"/>
        <v>1.3</v>
      </c>
      <c r="M1640" s="14">
        <f t="shared" si="99"/>
        <v>5.5555555555555554</v>
      </c>
      <c r="N1640" s="5" t="s">
        <v>25</v>
      </c>
      <c r="O1640" s="11" t="s">
        <v>25</v>
      </c>
      <c r="P1640" s="15">
        <v>0</v>
      </c>
      <c r="Q1640" s="15">
        <v>0</v>
      </c>
      <c r="R1640" s="5" t="s">
        <v>865</v>
      </c>
    </row>
    <row r="1641" spans="1:19" hidden="1" x14ac:dyDescent="0.3">
      <c r="A1641" s="21">
        <v>337</v>
      </c>
      <c r="B1641" s="5" t="s">
        <v>869</v>
      </c>
      <c r="C1641" s="5" t="s">
        <v>644</v>
      </c>
      <c r="D1641" s="5" t="s">
        <v>21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1512</v>
      </c>
      <c r="J1641" s="5">
        <v>100</v>
      </c>
      <c r="K1641" s="12">
        <v>0</v>
      </c>
      <c r="L1641" s="8"/>
      <c r="M1641" s="8"/>
      <c r="N1641" s="5"/>
      <c r="O1641" s="11"/>
      <c r="P1641" s="15">
        <v>0</v>
      </c>
      <c r="Q1641" s="15">
        <v>0</v>
      </c>
      <c r="R1641" s="5" t="s">
        <v>2633</v>
      </c>
      <c r="S1641" t="s">
        <v>263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867</v>
      </c>
    </row>
    <row r="1643" spans="1:19" hidden="1" x14ac:dyDescent="0.3">
      <c r="A1643" s="21">
        <v>337</v>
      </c>
      <c r="B1643" s="5" t="s">
        <v>866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2">
        <v>100</v>
      </c>
      <c r="L1643" s="14">
        <f>IFERROR(IF(OR(J1643=0,K1643=""),"",IF(E1643="Positivo",MIN(MAX(K1643/J1643,0),1.3),MIN(MAX(J1643/K1643,0),1.3))),"")</f>
        <v>1</v>
      </c>
      <c r="M1643" s="14">
        <f>IFERROR(IF(OR(J1643=0,K1643=""),"",IF(E1643="Positivo",MAX(K1643/J1643,0),MAX(J1643/K1643,0))),"")</f>
        <v>1</v>
      </c>
      <c r="N1643" s="5" t="s">
        <v>128</v>
      </c>
      <c r="O1643" s="5" t="s">
        <v>128</v>
      </c>
      <c r="P1643" s="15">
        <v>0</v>
      </c>
      <c r="Q1643" s="15">
        <v>0</v>
      </c>
      <c r="R1643" s="5" t="s">
        <v>2634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868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870</v>
      </c>
      <c r="S1645" t="s">
        <v>263</v>
      </c>
    </row>
    <row r="1646" spans="1:19" hidden="1" x14ac:dyDescent="0.3">
      <c r="A1646" s="21">
        <v>337</v>
      </c>
      <c r="B1646" s="5" t="s">
        <v>869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0</v>
      </c>
      <c r="L1646" s="8"/>
      <c r="M1646" s="8"/>
      <c r="N1646" s="5"/>
      <c r="O1646" s="5"/>
      <c r="P1646" s="15">
        <v>0</v>
      </c>
      <c r="Q1646" s="15">
        <v>0</v>
      </c>
      <c r="R1646" s="5" t="s">
        <v>2635</v>
      </c>
      <c r="S1646" t="s">
        <v>263</v>
      </c>
    </row>
    <row r="1647" spans="1:19" hidden="1" x14ac:dyDescent="0.3">
      <c r="A1647" s="21">
        <v>338</v>
      </c>
      <c r="B1647" s="5" t="s">
        <v>2636</v>
      </c>
      <c r="C1647" s="5" t="s">
        <v>644</v>
      </c>
      <c r="D1647" s="5" t="s">
        <v>27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100</v>
      </c>
      <c r="L1647" s="14">
        <f>IFERROR(IF(OR(J1647=0,K1647=""),"",IF(E1647="Positivo",MIN(MAX(K1647/J1647,0),1.3),MIN(MAX(J1647/K1647,0),1.3))),"")</f>
        <v>1</v>
      </c>
      <c r="M1647" s="14">
        <f>IFERROR(IF(OR(J1647=0,K1647=""),"",IF(E1647="Positivo",MAX(K1647/J1647,0),MAX(J1647/K1647,0))),"")</f>
        <v>1</v>
      </c>
      <c r="N1647" s="5" t="s">
        <v>128</v>
      </c>
      <c r="O1647" s="5" t="s">
        <v>128</v>
      </c>
      <c r="P1647" s="15">
        <v>0</v>
      </c>
      <c r="Q1647" s="15">
        <v>0</v>
      </c>
      <c r="R1647" s="5" t="s">
        <v>2637</v>
      </c>
    </row>
    <row r="1648" spans="1:19" hidden="1" x14ac:dyDescent="0.3">
      <c r="A1648" s="21">
        <v>338</v>
      </c>
      <c r="B1648" s="5" t="s">
        <v>874</v>
      </c>
      <c r="C1648" s="5" t="s">
        <v>644</v>
      </c>
      <c r="D1648" s="5" t="s">
        <v>21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0</v>
      </c>
      <c r="K1648" s="12"/>
      <c r="L1648" s="8"/>
      <c r="M1648" s="8"/>
      <c r="N1648" s="5" t="s">
        <v>128</v>
      </c>
      <c r="O1648" s="5" t="s">
        <v>302</v>
      </c>
      <c r="P1648" s="15">
        <v>0</v>
      </c>
      <c r="Q1648" s="15">
        <v>0</v>
      </c>
      <c r="R1648" s="5" t="s">
        <v>872</v>
      </c>
      <c r="S1648" t="s">
        <v>263</v>
      </c>
    </row>
    <row r="1649" spans="1:19" hidden="1" x14ac:dyDescent="0.3">
      <c r="A1649" s="21">
        <v>338</v>
      </c>
      <c r="B1649" s="5" t="s">
        <v>871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2638</v>
      </c>
    </row>
    <row r="1650" spans="1:19" hidden="1" x14ac:dyDescent="0.3">
      <c r="A1650" s="5">
        <v>338</v>
      </c>
      <c r="B1650" s="5" t="s">
        <v>874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0</v>
      </c>
      <c r="L1650" s="14"/>
      <c r="M1650" s="14"/>
      <c r="N1650" s="5" t="s">
        <v>128</v>
      </c>
      <c r="O1650" s="5" t="s">
        <v>128</v>
      </c>
      <c r="P1650" s="5">
        <v>0</v>
      </c>
      <c r="Q1650" s="5">
        <v>0</v>
      </c>
      <c r="R1650" s="5" t="s">
        <v>873</v>
      </c>
      <c r="S1650" t="s">
        <v>263</v>
      </c>
    </row>
    <row r="1651" spans="1:19" hidden="1" x14ac:dyDescent="0.3">
      <c r="A1651" s="5">
        <v>338</v>
      </c>
      <c r="B1651" s="5" t="s">
        <v>871</v>
      </c>
      <c r="C1651" s="5" t="s">
        <v>644</v>
      </c>
      <c r="D1651" s="5" t="s">
        <v>27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5">
        <v>100</v>
      </c>
      <c r="L1651" s="14">
        <f>IFERROR(IF(OR(J1651=0,K1651=""),"",IF(E1651="Positivo",MIN(MAX(K1651/J1651,0),1.3),MIN(MAX(J1651/K1651,0),1.3))),"")</f>
        <v>1</v>
      </c>
      <c r="M1651" s="14">
        <f>IFERROR(IF(OR(J1651=0,K1651=""),"",IF(E1651="Positivo",MAX(K1651/J1651,0),MAX(J1651/K1651,0))),"")</f>
        <v>1</v>
      </c>
      <c r="N1651" s="5" t="s">
        <v>128</v>
      </c>
      <c r="O1651" s="5" t="s">
        <v>128</v>
      </c>
      <c r="P1651" s="5">
        <v>0</v>
      </c>
      <c r="Q1651" s="5">
        <v>0</v>
      </c>
      <c r="R1651" s="5" t="s">
        <v>2639</v>
      </c>
    </row>
    <row r="1652" spans="1:19" hidden="1" x14ac:dyDescent="0.3">
      <c r="A1652" s="5">
        <v>338</v>
      </c>
      <c r="B1652" s="5" t="s">
        <v>874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5">
        <v>100</v>
      </c>
      <c r="L1652" s="8"/>
      <c r="M1652" s="14"/>
      <c r="N1652" s="5" t="s">
        <v>128</v>
      </c>
      <c r="O1652" s="5" t="s">
        <v>128</v>
      </c>
      <c r="P1652" s="5">
        <v>0</v>
      </c>
      <c r="Q1652" s="5">
        <v>0</v>
      </c>
      <c r="R1652" s="5" t="s">
        <v>875</v>
      </c>
      <c r="S1652" t="s">
        <v>263</v>
      </c>
    </row>
    <row r="1653" spans="1:19" hidden="1" x14ac:dyDescent="0.3">
      <c r="A1653" s="31">
        <v>339</v>
      </c>
      <c r="B1653" s="5" t="s">
        <v>2640</v>
      </c>
      <c r="C1653" s="5" t="s">
        <v>877</v>
      </c>
      <c r="D1653" s="5" t="s">
        <v>71</v>
      </c>
      <c r="E1653" s="5" t="s">
        <v>22</v>
      </c>
      <c r="F1653" s="71">
        <v>45291</v>
      </c>
      <c r="G1653" s="5">
        <v>2023</v>
      </c>
      <c r="H1653" s="5" t="s">
        <v>23</v>
      </c>
      <c r="I1653" s="6" t="s">
        <v>28</v>
      </c>
      <c r="J1653" s="5">
        <v>30</v>
      </c>
      <c r="K1653" s="48">
        <v>28.571428571428569</v>
      </c>
      <c r="L1653" s="30">
        <f t="shared" ref="L1653:L1675" si="100">IFERROR(IF(OR(J1653=0,K1653=""),"",IF(E1653="Positivo",MIN(MAX(K1653/J1653,0),1.3),MIN(MAX(J1653/K1653,0),1.3))),"")</f>
        <v>0.95238095238095233</v>
      </c>
      <c r="M1653" s="14">
        <f t="shared" ref="M1653:M1675" si="101">IFERROR(IF(OR(J1653=0,K1653=""),"",IF(E1653="Positivo",MAX(K1653/J1653,0),MAX(J1653/K1653,0))),"")</f>
        <v>0.95238095238095233</v>
      </c>
      <c r="N1653" s="31" t="s">
        <v>25</v>
      </c>
      <c r="O1653" s="5" t="s">
        <v>25</v>
      </c>
      <c r="P1653" s="15">
        <v>2</v>
      </c>
      <c r="Q1653" s="15">
        <v>2</v>
      </c>
      <c r="R1653" s="5" t="s">
        <v>878</v>
      </c>
    </row>
    <row r="1654" spans="1:19" hidden="1" x14ac:dyDescent="0.3">
      <c r="A1654" s="5">
        <v>339</v>
      </c>
      <c r="B1654" s="5" t="s">
        <v>2640</v>
      </c>
      <c r="C1654" s="5" t="s">
        <v>877</v>
      </c>
      <c r="D1654" s="5" t="s">
        <v>71</v>
      </c>
      <c r="E1654" s="5" t="s">
        <v>22</v>
      </c>
      <c r="F1654" s="71">
        <v>45657</v>
      </c>
      <c r="G1654" s="5">
        <v>2024</v>
      </c>
      <c r="H1654" s="5" t="s">
        <v>23</v>
      </c>
      <c r="I1654" s="6" t="s">
        <v>30</v>
      </c>
      <c r="J1654" s="5">
        <v>30</v>
      </c>
      <c r="K1654" s="5">
        <v>30.3</v>
      </c>
      <c r="L1654" s="14">
        <f t="shared" si="100"/>
        <v>1.01</v>
      </c>
      <c r="M1654" s="14">
        <f t="shared" si="101"/>
        <v>1.01</v>
      </c>
      <c r="N1654" s="5" t="s">
        <v>25</v>
      </c>
      <c r="O1654" s="5" t="s">
        <v>25</v>
      </c>
      <c r="P1654" s="5">
        <v>2</v>
      </c>
      <c r="Q1654" s="5">
        <v>2</v>
      </c>
      <c r="R1654" s="5" t="s">
        <v>879</v>
      </c>
    </row>
    <row r="1655" spans="1:19" hidden="1" x14ac:dyDescent="0.3">
      <c r="A1655" s="21">
        <v>339</v>
      </c>
      <c r="B1655" s="5" t="s">
        <v>2640</v>
      </c>
      <c r="C1655" s="5" t="s">
        <v>877</v>
      </c>
      <c r="D1655" s="5" t="s">
        <v>71</v>
      </c>
      <c r="E1655" s="5" t="s">
        <v>22</v>
      </c>
      <c r="F1655" s="71">
        <v>46022</v>
      </c>
      <c r="G1655" s="5">
        <v>2025</v>
      </c>
      <c r="H1655" s="5" t="s">
        <v>23</v>
      </c>
      <c r="I1655" s="6" t="s">
        <v>32</v>
      </c>
      <c r="J1655" s="5">
        <v>30</v>
      </c>
      <c r="K1655" s="10">
        <v>35.29</v>
      </c>
      <c r="L1655" s="14">
        <f t="shared" si="100"/>
        <v>1.1763333333333332</v>
      </c>
      <c r="M1655" s="14">
        <f t="shared" si="101"/>
        <v>1.1763333333333332</v>
      </c>
      <c r="N1655" s="5" t="s">
        <v>25</v>
      </c>
      <c r="O1655" s="5" t="s">
        <v>25</v>
      </c>
      <c r="P1655" s="15">
        <v>0</v>
      </c>
      <c r="Q1655" s="15">
        <v>1</v>
      </c>
      <c r="R1655" s="5" t="s">
        <v>880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45016</v>
      </c>
      <c r="G1656" s="5">
        <v>2023</v>
      </c>
      <c r="H1656" s="5" t="s">
        <v>1516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45107</v>
      </c>
      <c r="G1657" s="5">
        <v>2023</v>
      </c>
      <c r="H1657" s="5" t="s">
        <v>699</v>
      </c>
      <c r="I1657" s="6" t="s">
        <v>1512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45199</v>
      </c>
      <c r="G1658" s="5">
        <v>2023</v>
      </c>
      <c r="H1658" s="5" t="s">
        <v>162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2643</v>
      </c>
    </row>
    <row r="1659" spans="1:19" hidden="1" x14ac:dyDescent="0.3">
      <c r="A1659" s="21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90</v>
      </c>
      <c r="K1659" s="48">
        <v>100</v>
      </c>
      <c r="L1659" s="14">
        <f t="shared" si="100"/>
        <v>1.1111111111111112</v>
      </c>
      <c r="M1659" s="14">
        <f t="shared" si="101"/>
        <v>1.1111111111111112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882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45382</v>
      </c>
      <c r="G1660" s="5">
        <v>2024</v>
      </c>
      <c r="H1660" s="5" t="s">
        <v>1516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45473</v>
      </c>
      <c r="G1661" s="5">
        <v>2024</v>
      </c>
      <c r="H1661" s="5" t="s">
        <v>699</v>
      </c>
      <c r="I1661" s="6" t="s">
        <v>729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6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45565</v>
      </c>
      <c r="G1662" s="5">
        <v>2024</v>
      </c>
      <c r="H1662" s="5" t="s">
        <v>162</v>
      </c>
      <c r="I1662" s="6" t="s">
        <v>30</v>
      </c>
      <c r="J1662" s="5">
        <v>95</v>
      </c>
      <c r="K1662" s="48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2646</v>
      </c>
    </row>
    <row r="1663" spans="1:19" hidden="1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95</v>
      </c>
      <c r="K1663" s="10">
        <v>100</v>
      </c>
      <c r="L1663" s="14">
        <f t="shared" si="100"/>
        <v>1.0526315789473684</v>
      </c>
      <c r="M1663" s="14">
        <f t="shared" si="101"/>
        <v>1.0526315789473684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883</v>
      </c>
    </row>
    <row r="1664" spans="1:19" hidden="1" x14ac:dyDescent="0.3">
      <c r="A1664" s="21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45107</v>
      </c>
      <c r="G1664" s="5">
        <v>2023</v>
      </c>
      <c r="H1664" s="5" t="s">
        <v>699</v>
      </c>
      <c r="I1664" s="6" t="s">
        <v>1512</v>
      </c>
      <c r="J1664" s="5">
        <v>100</v>
      </c>
      <c r="K1664" s="10">
        <v>123.86966666667</v>
      </c>
      <c r="L1664" s="14">
        <f t="shared" si="100"/>
        <v>1.2386966666667001</v>
      </c>
      <c r="M1664" s="14">
        <f t="shared" si="101"/>
        <v>1.2386966666667001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2647</v>
      </c>
    </row>
    <row r="1665" spans="1:18" hidden="1" x14ac:dyDescent="0.3">
      <c r="A1665" s="28">
        <v>341</v>
      </c>
      <c r="B1665" s="5" t="s">
        <v>884</v>
      </c>
      <c r="C1665" s="5" t="s">
        <v>20</v>
      </c>
      <c r="D1665" s="5" t="s">
        <v>27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76">
        <v>100</v>
      </c>
      <c r="K1665" s="9">
        <v>130.57</v>
      </c>
      <c r="L1665" s="14">
        <f t="shared" si="100"/>
        <v>1.3</v>
      </c>
      <c r="M1665" s="14">
        <f t="shared" si="101"/>
        <v>1.3056999999999999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885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0">
        <v>45473</v>
      </c>
      <c r="G1666" s="5">
        <v>2024</v>
      </c>
      <c r="H1666" s="5" t="s">
        <v>699</v>
      </c>
      <c r="I1666" s="6" t="s">
        <v>729</v>
      </c>
      <c r="J1666" s="5">
        <v>100</v>
      </c>
      <c r="K1666" s="9">
        <v>125</v>
      </c>
      <c r="L1666" s="14">
        <f t="shared" si="100"/>
        <v>1.25</v>
      </c>
      <c r="M1666" s="14">
        <f t="shared" si="101"/>
        <v>1.25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2648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45657</v>
      </c>
      <c r="G1667" s="5">
        <v>2024</v>
      </c>
      <c r="H1667" s="5" t="s">
        <v>23</v>
      </c>
      <c r="I1667" s="6" t="s">
        <v>30</v>
      </c>
      <c r="J1667" s="5">
        <v>100</v>
      </c>
      <c r="K1667" s="10">
        <v>102.44</v>
      </c>
      <c r="L1667" s="14">
        <f t="shared" si="100"/>
        <v>1.0244</v>
      </c>
      <c r="M1667" s="14">
        <f t="shared" si="101"/>
        <v>1.0244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887</v>
      </c>
    </row>
    <row r="1668" spans="1:18" hidden="1" x14ac:dyDescent="0.3">
      <c r="A1668" s="21">
        <v>341</v>
      </c>
      <c r="B1668" s="5" t="s">
        <v>886</v>
      </c>
      <c r="C1668" s="5" t="s">
        <v>20</v>
      </c>
      <c r="D1668" s="5" t="s">
        <v>27</v>
      </c>
      <c r="E1668" s="5" t="s">
        <v>22</v>
      </c>
      <c r="F1668" s="71">
        <v>45838</v>
      </c>
      <c r="G1668" s="5">
        <v>2025</v>
      </c>
      <c r="H1668" s="5" t="s">
        <v>699</v>
      </c>
      <c r="I1668" s="6" t="s">
        <v>700</v>
      </c>
      <c r="J1668" s="5">
        <v>100</v>
      </c>
      <c r="K1668" s="11">
        <v>102.25</v>
      </c>
      <c r="L1668" s="14">
        <f t="shared" si="100"/>
        <v>1.0225</v>
      </c>
      <c r="M1668" s="14">
        <f t="shared" si="101"/>
        <v>1.0225</v>
      </c>
      <c r="N1668" s="5" t="s">
        <v>205</v>
      </c>
      <c r="O1668" s="5" t="s">
        <v>205</v>
      </c>
      <c r="P1668" s="15">
        <v>0</v>
      </c>
      <c r="Q1668" s="15">
        <v>0</v>
      </c>
      <c r="R1668" s="5" t="s">
        <v>2649</v>
      </c>
    </row>
    <row r="1669" spans="1:18" hidden="1" x14ac:dyDescent="0.3">
      <c r="A1669" s="21">
        <v>341</v>
      </c>
      <c r="B1669" s="5" t="s">
        <v>888</v>
      </c>
      <c r="C1669" s="5" t="s">
        <v>20</v>
      </c>
      <c r="D1669" s="5" t="s">
        <v>21</v>
      </c>
      <c r="E1669" s="5" t="s">
        <v>22</v>
      </c>
      <c r="F1669" s="71">
        <v>46022</v>
      </c>
      <c r="G1669" s="5">
        <v>2025</v>
      </c>
      <c r="H1669" s="5" t="s">
        <v>23</v>
      </c>
      <c r="I1669" s="6" t="s">
        <v>32</v>
      </c>
      <c r="J1669" s="5">
        <v>100</v>
      </c>
      <c r="K1669" s="9">
        <v>102.65</v>
      </c>
      <c r="L1669" s="14">
        <f t="shared" si="100"/>
        <v>1.0265</v>
      </c>
      <c r="M1669" s="14">
        <f t="shared" si="101"/>
        <v>1.0265</v>
      </c>
      <c r="N1669" s="5" t="s">
        <v>205</v>
      </c>
      <c r="O1669" s="11" t="s">
        <v>205</v>
      </c>
      <c r="P1669" s="15">
        <v>0</v>
      </c>
      <c r="Q1669" s="15">
        <v>0</v>
      </c>
      <c r="R1669" s="5" t="s">
        <v>889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0">
        <v>45107</v>
      </c>
      <c r="G1670" s="5">
        <v>2023</v>
      </c>
      <c r="H1670" s="5" t="s">
        <v>699</v>
      </c>
      <c r="I1670" s="6" t="s">
        <v>1512</v>
      </c>
      <c r="J1670" s="5">
        <v>90</v>
      </c>
      <c r="K1670" s="9">
        <v>97.744360902256005</v>
      </c>
      <c r="L1670" s="14">
        <f t="shared" si="100"/>
        <v>1.0860484544695113</v>
      </c>
      <c r="M1670" s="14">
        <f t="shared" si="101"/>
        <v>1.0860484544695113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2650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5">
        <v>90</v>
      </c>
      <c r="K1671" s="9">
        <v>97.76</v>
      </c>
      <c r="L1671" s="14">
        <f t="shared" si="100"/>
        <v>1.0862222222222222</v>
      </c>
      <c r="M1671" s="14">
        <f t="shared" si="101"/>
        <v>1.0862222222222222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891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45473</v>
      </c>
      <c r="G1672" s="5">
        <v>2024</v>
      </c>
      <c r="H1672" s="5" t="s">
        <v>699</v>
      </c>
      <c r="I1672" s="6" t="s">
        <v>729</v>
      </c>
      <c r="J1672" s="5">
        <v>93</v>
      </c>
      <c r="K1672" s="9">
        <v>97.34</v>
      </c>
      <c r="L1672" s="14">
        <f t="shared" si="100"/>
        <v>1.0466666666666666</v>
      </c>
      <c r="M1672" s="14">
        <f t="shared" si="101"/>
        <v>1.0466666666666666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2651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93</v>
      </c>
      <c r="K1673" s="9">
        <v>99.19</v>
      </c>
      <c r="L1673" s="14">
        <f t="shared" si="100"/>
        <v>1.0665591397849463</v>
      </c>
      <c r="M1673" s="14">
        <f t="shared" si="101"/>
        <v>1.0665591397849463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892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93</v>
      </c>
      <c r="K1674" s="9">
        <v>99.43</v>
      </c>
      <c r="L1674" s="14">
        <f t="shared" si="100"/>
        <v>1.0691397849462367</v>
      </c>
      <c r="M1674" s="14">
        <f t="shared" si="101"/>
        <v>1.0691397849462367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2652</v>
      </c>
    </row>
    <row r="1675" spans="1:18" hidden="1" x14ac:dyDescent="0.3">
      <c r="A1675" s="21">
        <v>344</v>
      </c>
      <c r="B1675" s="5" t="s">
        <v>890</v>
      </c>
      <c r="C1675" s="5" t="s">
        <v>40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93</v>
      </c>
      <c r="K1675" s="9">
        <v>100</v>
      </c>
      <c r="L1675" s="14">
        <f t="shared" si="100"/>
        <v>1.075268817204301</v>
      </c>
      <c r="M1675" s="14">
        <f t="shared" si="101"/>
        <v>1.075268817204301</v>
      </c>
      <c r="N1675" s="5" t="s">
        <v>25</v>
      </c>
      <c r="O1675" s="11" t="s">
        <v>25</v>
      </c>
      <c r="P1675" s="15">
        <v>0</v>
      </c>
      <c r="Q1675" s="15">
        <v>0</v>
      </c>
      <c r="R1675" s="5" t="s">
        <v>893</v>
      </c>
    </row>
    <row r="1676" spans="1:18" hidden="1" x14ac:dyDescent="0.3">
      <c r="A1676" s="21">
        <v>345</v>
      </c>
      <c r="B1676" s="5" t="s">
        <v>894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9">
        <v>94.85</v>
      </c>
      <c r="L1676" s="8"/>
      <c r="M1676" s="14"/>
      <c r="N1676" s="5" t="s">
        <v>355</v>
      </c>
      <c r="O1676" s="11" t="s">
        <v>25</v>
      </c>
      <c r="P1676" s="15">
        <v>0</v>
      </c>
      <c r="Q1676" s="15">
        <v>0</v>
      </c>
      <c r="R1676" s="5" t="s">
        <v>895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/>
      <c r="K1677" s="10">
        <v>83.91608391608392</v>
      </c>
      <c r="L1677" s="14"/>
      <c r="M1677" s="14"/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897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45657</v>
      </c>
      <c r="G1678" s="5">
        <v>2024</v>
      </c>
      <c r="H1678" s="5" t="s">
        <v>23</v>
      </c>
      <c r="I1678" s="6" t="s">
        <v>30</v>
      </c>
      <c r="J1678" s="5">
        <v>85</v>
      </c>
      <c r="K1678" s="10">
        <v>91.88</v>
      </c>
      <c r="L1678" s="14">
        <f t="shared" ref="L1678:L1709" si="102">IFERROR(IF(OR(J1678=0,K1678=""),"",IF(E1678="Positivo",MIN(MAX(K1678/J1678,0),1.3),MIN(MAX(J1678/K1678,0),1.3))),"")</f>
        <v>1.0809411764705881</v>
      </c>
      <c r="M1678" s="14">
        <f t="shared" ref="M1678:M1709" si="103">IFERROR(IF(OR(J1678=0,K1678=""),"",IF(E1678="Positivo",MAX(K1678/J1678,0),MAX(J1678/K1678,0))),"")</f>
        <v>1.0809411764705881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898</v>
      </c>
    </row>
    <row r="1679" spans="1:18" hidden="1" x14ac:dyDescent="0.3">
      <c r="A1679" s="21">
        <v>346</v>
      </c>
      <c r="B1679" s="5" t="s">
        <v>896</v>
      </c>
      <c r="C1679" s="5" t="s">
        <v>40</v>
      </c>
      <c r="D1679" s="5" t="s">
        <v>71</v>
      </c>
      <c r="E1679" s="5" t="s">
        <v>22</v>
      </c>
      <c r="F1679" s="71">
        <v>46022</v>
      </c>
      <c r="G1679" s="5">
        <v>2025</v>
      </c>
      <c r="H1679" s="5" t="s">
        <v>23</v>
      </c>
      <c r="I1679" s="6" t="s">
        <v>32</v>
      </c>
      <c r="J1679" s="5">
        <v>85</v>
      </c>
      <c r="K1679" s="10">
        <v>97.28</v>
      </c>
      <c r="L1679" s="14">
        <f t="shared" si="102"/>
        <v>1.1444705882352941</v>
      </c>
      <c r="M1679" s="14">
        <f t="shared" si="103"/>
        <v>1.1444705882352941</v>
      </c>
      <c r="N1679" s="5" t="s">
        <v>355</v>
      </c>
      <c r="O1679" s="5" t="s">
        <v>25</v>
      </c>
      <c r="P1679" s="15">
        <v>0</v>
      </c>
      <c r="Q1679" s="15">
        <v>0</v>
      </c>
      <c r="R1679" s="5" t="s">
        <v>899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45016</v>
      </c>
      <c r="G1680" s="5">
        <v>2023</v>
      </c>
      <c r="H1680" s="5" t="s">
        <v>1516</v>
      </c>
      <c r="I1680" s="6" t="s">
        <v>1512</v>
      </c>
      <c r="J1680" s="5">
        <v>0</v>
      </c>
      <c r="K1680" s="10">
        <v>5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45107</v>
      </c>
      <c r="G1681" s="5">
        <v>2023</v>
      </c>
      <c r="H1681" s="5" t="s">
        <v>699</v>
      </c>
      <c r="I1681" s="6" t="s">
        <v>1512</v>
      </c>
      <c r="J1681" s="5">
        <v>0</v>
      </c>
      <c r="K1681" s="10">
        <v>8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1">
        <v>45199</v>
      </c>
      <c r="G1682" s="5">
        <v>2023</v>
      </c>
      <c r="H1682" s="5" t="s">
        <v>162</v>
      </c>
      <c r="I1682" s="6" t="s">
        <v>28</v>
      </c>
      <c r="J1682" s="5">
        <v>0</v>
      </c>
      <c r="K1682" s="10">
        <v>12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2655</v>
      </c>
    </row>
    <row r="1683" spans="1:18" hidden="1" x14ac:dyDescent="0.3">
      <c r="A1683" s="21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0">
        <v>45291</v>
      </c>
      <c r="G1683" s="5">
        <v>2023</v>
      </c>
      <c r="H1683" s="5" t="s">
        <v>23</v>
      </c>
      <c r="I1683" s="6" t="s">
        <v>28</v>
      </c>
      <c r="J1683" s="5">
        <v>0</v>
      </c>
      <c r="K1683" s="5">
        <v>2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15">
        <v>0</v>
      </c>
      <c r="Q1683" s="15">
        <v>0</v>
      </c>
      <c r="R1683" s="5" t="s">
        <v>902</v>
      </c>
    </row>
    <row r="1684" spans="1:18" hidden="1" x14ac:dyDescent="0.3">
      <c r="A1684" s="5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45382</v>
      </c>
      <c r="G1684" s="5">
        <v>2024</v>
      </c>
      <c r="H1684" s="5" t="s">
        <v>1516</v>
      </c>
      <c r="I1684" s="6" t="s">
        <v>729</v>
      </c>
      <c r="J1684" s="5">
        <v>5</v>
      </c>
      <c r="K1684" s="5">
        <v>0</v>
      </c>
      <c r="L1684" s="14" t="str">
        <f t="shared" si="102"/>
        <v/>
      </c>
      <c r="M1684" s="14" t="str">
        <f t="shared" si="103"/>
        <v/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2656</v>
      </c>
    </row>
    <row r="1685" spans="1:18" hidden="1" x14ac:dyDescent="0.3">
      <c r="A1685" s="26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45473</v>
      </c>
      <c r="G1685" s="5">
        <v>2024</v>
      </c>
      <c r="H1685" s="5" t="s">
        <v>699</v>
      </c>
      <c r="I1685" s="6" t="s">
        <v>729</v>
      </c>
      <c r="J1685" s="5">
        <v>5</v>
      </c>
      <c r="K1685" s="9">
        <v>3</v>
      </c>
      <c r="L1685" s="14">
        <f t="shared" si="102"/>
        <v>1.3</v>
      </c>
      <c r="M1685" s="14">
        <f t="shared" si="103"/>
        <v>1.6666666666666667</v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45565</v>
      </c>
      <c r="G1686" s="5">
        <v>2024</v>
      </c>
      <c r="H1686" s="5" t="s">
        <v>162</v>
      </c>
      <c r="I1686" s="6" t="s">
        <v>30</v>
      </c>
      <c r="J1686" s="5">
        <v>5</v>
      </c>
      <c r="K1686" s="10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2658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45657</v>
      </c>
      <c r="G1687" s="5">
        <v>2024</v>
      </c>
      <c r="H1687" s="5" t="s">
        <v>23</v>
      </c>
      <c r="I1687" s="6" t="s">
        <v>30</v>
      </c>
      <c r="J1687" s="5">
        <v>5</v>
      </c>
      <c r="K1687" s="5">
        <v>0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903</v>
      </c>
    </row>
    <row r="1688" spans="1:18" hidden="1" x14ac:dyDescent="0.3">
      <c r="A1688" s="26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45747</v>
      </c>
      <c r="G1688" s="5">
        <v>2025</v>
      </c>
      <c r="H1688" s="5" t="s">
        <v>1516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1">
        <v>45838</v>
      </c>
      <c r="G1689" s="5">
        <v>2025</v>
      </c>
      <c r="H1689" s="5" t="s">
        <v>699</v>
      </c>
      <c r="I1689" s="6" t="s">
        <v>700</v>
      </c>
      <c r="J1689" s="5">
        <v>5</v>
      </c>
      <c r="K1689" s="5">
        <v>1</v>
      </c>
      <c r="L1689" s="14">
        <f t="shared" si="102"/>
        <v>1.3</v>
      </c>
      <c r="M1689" s="14">
        <f t="shared" si="103"/>
        <v>5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45930</v>
      </c>
      <c r="G1690" s="5">
        <v>2025</v>
      </c>
      <c r="H1690" s="5" t="s">
        <v>162</v>
      </c>
      <c r="I1690" s="6" t="s">
        <v>32</v>
      </c>
      <c r="J1690" s="5">
        <v>5</v>
      </c>
      <c r="K1690" s="5">
        <v>6</v>
      </c>
      <c r="L1690" s="14">
        <f t="shared" si="102"/>
        <v>0.83333333333333337</v>
      </c>
      <c r="M1690" s="14">
        <f t="shared" si="103"/>
        <v>0.83333333333333337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2661</v>
      </c>
    </row>
    <row r="1691" spans="1:18" hidden="1" x14ac:dyDescent="0.3">
      <c r="A1691" s="5">
        <v>347</v>
      </c>
      <c r="B1691" s="5" t="s">
        <v>900</v>
      </c>
      <c r="C1691" s="5" t="s">
        <v>901</v>
      </c>
      <c r="D1691" s="5" t="s">
        <v>27</v>
      </c>
      <c r="E1691" s="5" t="s">
        <v>41</v>
      </c>
      <c r="F1691" s="71">
        <v>46022</v>
      </c>
      <c r="G1691" s="5">
        <v>2025</v>
      </c>
      <c r="H1691" s="5" t="s">
        <v>23</v>
      </c>
      <c r="I1691" s="6" t="s">
        <v>32</v>
      </c>
      <c r="J1691" s="5">
        <v>5</v>
      </c>
      <c r="K1691" s="5">
        <v>1</v>
      </c>
      <c r="L1691" s="14">
        <f t="shared" si="102"/>
        <v>1.3</v>
      </c>
      <c r="M1691" s="14">
        <f t="shared" si="103"/>
        <v>5</v>
      </c>
      <c r="N1691" s="5" t="s">
        <v>128</v>
      </c>
      <c r="O1691" s="5" t="s">
        <v>128</v>
      </c>
      <c r="P1691" s="5">
        <v>0</v>
      </c>
      <c r="Q1691" s="5">
        <v>0</v>
      </c>
      <c r="R1691" s="5" t="s">
        <v>904</v>
      </c>
    </row>
    <row r="1692" spans="1:18" hidden="1" x14ac:dyDescent="0.3">
      <c r="A1692" s="5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45016</v>
      </c>
      <c r="G1692" s="5">
        <v>2023</v>
      </c>
      <c r="H1692" s="5" t="s">
        <v>1516</v>
      </c>
      <c r="I1692" s="6" t="s">
        <v>1512</v>
      </c>
      <c r="J1692" s="5">
        <v>99</v>
      </c>
      <c r="K1692" s="5">
        <v>99.936143039591002</v>
      </c>
      <c r="L1692" s="14">
        <f t="shared" si="102"/>
        <v>1.0094559902988991</v>
      </c>
      <c r="M1692" s="14">
        <f t="shared" si="103"/>
        <v>1.0094559902988991</v>
      </c>
      <c r="N1692" s="5" t="s">
        <v>25</v>
      </c>
      <c r="O1692" s="5" t="s">
        <v>25</v>
      </c>
      <c r="P1692" s="5">
        <v>0</v>
      </c>
      <c r="Q1692" s="5">
        <v>0</v>
      </c>
      <c r="R1692" s="5" t="s">
        <v>2662</v>
      </c>
    </row>
    <row r="1693" spans="1:18" hidden="1" x14ac:dyDescent="0.3">
      <c r="A1693" s="21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45107</v>
      </c>
      <c r="G1693" s="5">
        <v>2023</v>
      </c>
      <c r="H1693" s="5" t="s">
        <v>699</v>
      </c>
      <c r="I1693" s="6" t="s">
        <v>1512</v>
      </c>
      <c r="J1693" s="5">
        <v>99</v>
      </c>
      <c r="K1693" s="10">
        <v>99.699248120300993</v>
      </c>
      <c r="L1693" s="14">
        <f t="shared" si="102"/>
        <v>1.0070631123262725</v>
      </c>
      <c r="M1693" s="14">
        <f t="shared" si="103"/>
        <v>1.0070631123262725</v>
      </c>
      <c r="N1693" s="5" t="s">
        <v>25</v>
      </c>
      <c r="O1693" s="5" t="s">
        <v>25</v>
      </c>
      <c r="P1693" s="15">
        <v>0</v>
      </c>
      <c r="Q1693" s="1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45199</v>
      </c>
      <c r="G1694" s="5">
        <v>2023</v>
      </c>
      <c r="H1694" s="5" t="s">
        <v>162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2664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45291</v>
      </c>
      <c r="G1695" s="5">
        <v>2023</v>
      </c>
      <c r="H1695" s="5" t="s">
        <v>23</v>
      </c>
      <c r="I1695" s="6" t="s">
        <v>28</v>
      </c>
      <c r="J1695" s="5">
        <v>99</v>
      </c>
      <c r="K1695" s="5">
        <v>100</v>
      </c>
      <c r="L1695" s="14">
        <f t="shared" si="102"/>
        <v>1.0101010101010102</v>
      </c>
      <c r="M1695" s="14">
        <f t="shared" si="103"/>
        <v>1.0101010101010102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906</v>
      </c>
    </row>
    <row r="1696" spans="1:18" hidden="1" x14ac:dyDescent="0.3">
      <c r="A1696" s="5">
        <v>348</v>
      </c>
      <c r="B1696" s="5" t="s">
        <v>905</v>
      </c>
      <c r="C1696" s="5" t="s">
        <v>901</v>
      </c>
      <c r="D1696" s="5" t="s">
        <v>21</v>
      </c>
      <c r="E1696" s="5" t="s">
        <v>22</v>
      </c>
      <c r="F1696" s="71">
        <v>45382</v>
      </c>
      <c r="G1696" s="5">
        <v>2024</v>
      </c>
      <c r="H1696" s="5" t="s">
        <v>1516</v>
      </c>
      <c r="I1696" s="6" t="s">
        <v>729</v>
      </c>
      <c r="J1696" s="5">
        <v>99</v>
      </c>
      <c r="K1696" s="5">
        <v>99.95</v>
      </c>
      <c r="L1696" s="14">
        <f t="shared" si="102"/>
        <v>1.0095959595959596</v>
      </c>
      <c r="M1696" s="14">
        <f t="shared" si="103"/>
        <v>1.0095959595959596</v>
      </c>
      <c r="N1696" s="5" t="s">
        <v>25</v>
      </c>
      <c r="O1696" s="5" t="s">
        <v>25</v>
      </c>
      <c r="P1696" s="5">
        <v>0</v>
      </c>
      <c r="Q1696" s="5">
        <v>0</v>
      </c>
      <c r="R1696" s="5" t="s">
        <v>2665</v>
      </c>
    </row>
    <row r="1697" spans="1:18" hidden="1" x14ac:dyDescent="0.3">
      <c r="A1697" s="24">
        <v>348</v>
      </c>
      <c r="B1697" s="16" t="s">
        <v>905</v>
      </c>
      <c r="C1697" s="16" t="s">
        <v>901</v>
      </c>
      <c r="D1697" s="16" t="s">
        <v>21</v>
      </c>
      <c r="E1697" s="16" t="s">
        <v>22</v>
      </c>
      <c r="F1697" s="77">
        <v>45473</v>
      </c>
      <c r="G1697" s="5">
        <v>2024</v>
      </c>
      <c r="H1697" s="5" t="s">
        <v>699</v>
      </c>
      <c r="I1697" s="6" t="s">
        <v>729</v>
      </c>
      <c r="J1697" s="5">
        <v>99</v>
      </c>
      <c r="K1697" s="5">
        <v>99.9</v>
      </c>
      <c r="L1697" s="14">
        <f t="shared" si="102"/>
        <v>1.009090909090909</v>
      </c>
      <c r="M1697" s="14">
        <f t="shared" si="103"/>
        <v>1.009090909090909</v>
      </c>
      <c r="N1697" s="16" t="s">
        <v>25</v>
      </c>
      <c r="O1697" s="16" t="s">
        <v>25</v>
      </c>
      <c r="P1697" s="15">
        <v>1</v>
      </c>
      <c r="Q1697" s="15">
        <v>1</v>
      </c>
      <c r="R1697" s="5" t="s">
        <v>2666</v>
      </c>
    </row>
    <row r="1698" spans="1:18" hidden="1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45565</v>
      </c>
      <c r="G1698" s="5">
        <v>2024</v>
      </c>
      <c r="H1698" s="5" t="s">
        <v>162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5">
        <v>1</v>
      </c>
      <c r="Q1698" s="5">
        <v>1</v>
      </c>
      <c r="R1698" s="5" t="s">
        <v>2667</v>
      </c>
    </row>
    <row r="1699" spans="1:18" hidden="1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0">
        <v>45657</v>
      </c>
      <c r="G1699" s="5">
        <v>2024</v>
      </c>
      <c r="H1699" s="5" t="s">
        <v>23</v>
      </c>
      <c r="I1699" s="6" t="s">
        <v>30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15">
        <v>1</v>
      </c>
      <c r="Q1699" s="15">
        <v>1</v>
      </c>
      <c r="R1699" s="5" t="s">
        <v>907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45747</v>
      </c>
      <c r="G1700" s="5">
        <v>2025</v>
      </c>
      <c r="H1700" s="5" t="s">
        <v>1516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45838</v>
      </c>
      <c r="G1701" s="5">
        <v>2025</v>
      </c>
      <c r="H1701" s="5" t="s">
        <v>699</v>
      </c>
      <c r="I1701" s="6" t="s">
        <v>700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1</v>
      </c>
      <c r="Q1701" s="5">
        <v>1</v>
      </c>
      <c r="R1701" s="5" t="s">
        <v>2669</v>
      </c>
    </row>
    <row r="1702" spans="1:18" hidden="1" x14ac:dyDescent="0.3">
      <c r="A1702" s="5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45930</v>
      </c>
      <c r="G1702" s="5">
        <v>2025</v>
      </c>
      <c r="H1702" s="5" t="s">
        <v>162</v>
      </c>
      <c r="I1702" s="6" t="s">
        <v>32</v>
      </c>
      <c r="J1702" s="5">
        <v>99</v>
      </c>
      <c r="K1702" s="5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2670</v>
      </c>
    </row>
    <row r="1703" spans="1:18" hidden="1" x14ac:dyDescent="0.3">
      <c r="A1703" s="21">
        <v>348</v>
      </c>
      <c r="B1703" s="5" t="s">
        <v>905</v>
      </c>
      <c r="C1703" s="5" t="s">
        <v>901</v>
      </c>
      <c r="D1703" s="5" t="s">
        <v>27</v>
      </c>
      <c r="E1703" s="5" t="s">
        <v>22</v>
      </c>
      <c r="F1703" s="71">
        <v>46022</v>
      </c>
      <c r="G1703" s="5">
        <v>2025</v>
      </c>
      <c r="H1703" s="5" t="s">
        <v>23</v>
      </c>
      <c r="I1703" s="6" t="s">
        <v>32</v>
      </c>
      <c r="J1703" s="5">
        <v>99</v>
      </c>
      <c r="K1703" s="10">
        <v>100</v>
      </c>
      <c r="L1703" s="14">
        <f t="shared" si="102"/>
        <v>1.0101010101010102</v>
      </c>
      <c r="M1703" s="14">
        <f t="shared" si="103"/>
        <v>1.0101010101010102</v>
      </c>
      <c r="N1703" s="5" t="s">
        <v>25</v>
      </c>
      <c r="O1703" s="5" t="s">
        <v>25</v>
      </c>
      <c r="P1703" s="15">
        <v>0</v>
      </c>
      <c r="Q1703" s="15">
        <v>0</v>
      </c>
      <c r="R1703" s="5" t="s">
        <v>908</v>
      </c>
    </row>
    <row r="1704" spans="1:18" hidden="1" x14ac:dyDescent="0.3">
      <c r="A1704" s="21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45016</v>
      </c>
      <c r="G1704" s="5">
        <v>2023</v>
      </c>
      <c r="H1704" s="5" t="s">
        <v>1516</v>
      </c>
      <c r="I1704" s="6" t="s">
        <v>1512</v>
      </c>
      <c r="J1704" s="5">
        <v>0</v>
      </c>
      <c r="K1704" s="10">
        <v>11.41868512110727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15">
        <v>0</v>
      </c>
      <c r="Q1704" s="15">
        <v>0</v>
      </c>
      <c r="R1704" s="5" t="s">
        <v>2671</v>
      </c>
    </row>
    <row r="1705" spans="1:18" hidden="1" x14ac:dyDescent="0.3">
      <c r="A1705" s="5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45107</v>
      </c>
      <c r="G1705" s="5">
        <v>2023</v>
      </c>
      <c r="H1705" s="5" t="s">
        <v>699</v>
      </c>
      <c r="I1705" s="6" t="s">
        <v>1512</v>
      </c>
      <c r="J1705" s="5">
        <v>0</v>
      </c>
      <c r="K1705" s="5">
        <v>8.2333989618757837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5">
        <v>0</v>
      </c>
      <c r="Q1705" s="5">
        <v>0</v>
      </c>
      <c r="R1705" s="5" t="s">
        <v>2672</v>
      </c>
    </row>
    <row r="1706" spans="1:18" hidden="1" x14ac:dyDescent="0.3">
      <c r="A1706" s="21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45199</v>
      </c>
      <c r="G1706" s="5">
        <v>2023</v>
      </c>
      <c r="H1706" s="5" t="s">
        <v>162</v>
      </c>
      <c r="I1706" s="6" t="s">
        <v>28</v>
      </c>
      <c r="J1706" s="5">
        <v>0</v>
      </c>
      <c r="K1706" s="10">
        <v>10.29796131730267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15">
        <v>0</v>
      </c>
      <c r="Q1706" s="15">
        <v>0</v>
      </c>
      <c r="R1706" s="5" t="s">
        <v>2673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45291</v>
      </c>
      <c r="G1707" s="5">
        <v>2023</v>
      </c>
      <c r="H1707" s="5" t="s">
        <v>23</v>
      </c>
      <c r="I1707" s="6" t="s">
        <v>28</v>
      </c>
      <c r="J1707" s="5">
        <v>0</v>
      </c>
      <c r="K1707" s="5">
        <v>3.5442828816920029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914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45382</v>
      </c>
      <c r="G1708" s="5">
        <v>2024</v>
      </c>
      <c r="H1708" s="5" t="s">
        <v>1516</v>
      </c>
      <c r="I1708" s="6" t="s">
        <v>729</v>
      </c>
      <c r="J1708" s="5">
        <v>0</v>
      </c>
      <c r="K1708" s="5">
        <v>4.999240813847555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0</v>
      </c>
      <c r="R1708" s="5" t="s">
        <v>2674</v>
      </c>
    </row>
    <row r="1709" spans="1:18" hidden="1" x14ac:dyDescent="0.3">
      <c r="A1709" s="5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1">
        <v>45473</v>
      </c>
      <c r="G1709" s="5">
        <v>2024</v>
      </c>
      <c r="H1709" s="5" t="s">
        <v>699</v>
      </c>
      <c r="I1709" s="6" t="s">
        <v>729</v>
      </c>
      <c r="J1709" s="5">
        <v>0</v>
      </c>
      <c r="K1709" s="5">
        <v>12.52996115381436</v>
      </c>
      <c r="L1709" s="14" t="str">
        <f t="shared" si="102"/>
        <v/>
      </c>
      <c r="M1709" s="14" t="str">
        <f t="shared" si="103"/>
        <v/>
      </c>
      <c r="N1709" s="5" t="s">
        <v>128</v>
      </c>
      <c r="O1709" s="5" t="s">
        <v>136</v>
      </c>
      <c r="P1709" s="5">
        <v>0</v>
      </c>
      <c r="Q1709" s="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45565</v>
      </c>
      <c r="G1710" s="5">
        <v>2024</v>
      </c>
      <c r="H1710" s="5" t="s">
        <v>162</v>
      </c>
      <c r="I1710" s="6" t="s">
        <v>30</v>
      </c>
      <c r="J1710" s="5">
        <v>0</v>
      </c>
      <c r="K1710" s="9">
        <v>3.1795721695362609</v>
      </c>
      <c r="L1710" s="14" t="str">
        <f t="shared" ref="L1710:L1739" si="104">IFERROR(IF(OR(J1710=0,K1710=""),"",IF(E1710="Positivo",MIN(MAX(K1710/J1710,0),1.3),MIN(MAX(J1710/K1710,0),1.3))),"")</f>
        <v/>
      </c>
      <c r="M1710" s="14" t="str">
        <f t="shared" ref="M1710:M1739" si="105">IFERROR(IF(OR(J1710=0,K1710=""),"",IF(E1710="Positivo",MAX(K1710/J1710,0),MAX(J1710/K1710,0))),"")</f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2676</v>
      </c>
    </row>
    <row r="1711" spans="1:18" hidden="1" x14ac:dyDescent="0.3">
      <c r="A1711" s="21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0">
        <v>45657</v>
      </c>
      <c r="G1711" s="5">
        <v>2024</v>
      </c>
      <c r="H1711" s="5" t="s">
        <v>23</v>
      </c>
      <c r="I1711" s="6" t="s">
        <v>30</v>
      </c>
      <c r="J1711" s="5">
        <v>0</v>
      </c>
      <c r="K1711" s="12">
        <v>1.497983483771846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15">
        <v>0</v>
      </c>
      <c r="Q1711" s="15">
        <v>1</v>
      </c>
      <c r="R1711" s="5" t="s">
        <v>915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45747</v>
      </c>
      <c r="G1712" s="5">
        <v>2025</v>
      </c>
      <c r="H1712" s="5" t="s">
        <v>1516</v>
      </c>
      <c r="I1712" s="6" t="s">
        <v>700</v>
      </c>
      <c r="J1712" s="5">
        <v>0</v>
      </c>
      <c r="K1712" s="5">
        <v>0.47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0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45838</v>
      </c>
      <c r="G1713" s="5">
        <v>2025</v>
      </c>
      <c r="H1713" s="5" t="s">
        <v>699</v>
      </c>
      <c r="I1713" s="6" t="s">
        <v>700</v>
      </c>
      <c r="J1713" s="73">
        <v>0</v>
      </c>
      <c r="K1713" s="9">
        <v>0.65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2678</v>
      </c>
    </row>
    <row r="1714" spans="1:18" hidden="1" x14ac:dyDescent="0.3">
      <c r="A1714" s="5">
        <v>351</v>
      </c>
      <c r="B1714" s="5" t="s">
        <v>913</v>
      </c>
      <c r="C1714" s="5" t="s">
        <v>901</v>
      </c>
      <c r="D1714" s="5" t="s">
        <v>27</v>
      </c>
      <c r="E1714" s="5" t="s">
        <v>41</v>
      </c>
      <c r="F1714" s="71">
        <v>45930</v>
      </c>
      <c r="G1714" s="5">
        <v>2025</v>
      </c>
      <c r="H1714" s="5" t="s">
        <v>162</v>
      </c>
      <c r="I1714" s="6" t="s">
        <v>32</v>
      </c>
      <c r="J1714" s="5">
        <v>0</v>
      </c>
      <c r="K1714" s="5">
        <v>0.26</v>
      </c>
      <c r="L1714" s="14" t="str">
        <f t="shared" si="104"/>
        <v/>
      </c>
      <c r="M1714" s="14" t="str">
        <f t="shared" si="105"/>
        <v/>
      </c>
      <c r="N1714" s="5" t="s">
        <v>128</v>
      </c>
      <c r="O1714" s="5" t="s">
        <v>136</v>
      </c>
      <c r="P1714" s="5">
        <v>0</v>
      </c>
      <c r="Q1714" s="5">
        <v>1</v>
      </c>
      <c r="R1714" s="5" t="s">
        <v>916</v>
      </c>
    </row>
    <row r="1715" spans="1:18" hidden="1" x14ac:dyDescent="0.3">
      <c r="A1715" s="21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45016</v>
      </c>
      <c r="G1715" s="5">
        <v>2023</v>
      </c>
      <c r="H1715" s="5" t="s">
        <v>1516</v>
      </c>
      <c r="I1715" s="6" t="s">
        <v>1512</v>
      </c>
      <c r="J1715" s="5">
        <v>0</v>
      </c>
      <c r="K1715" s="10">
        <v>1.0385968556480199E-2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15">
        <v>0</v>
      </c>
      <c r="Q1715" s="15">
        <v>2</v>
      </c>
      <c r="R1715" s="5" t="s">
        <v>2679</v>
      </c>
    </row>
    <row r="1716" spans="1:18" hidden="1" x14ac:dyDescent="0.3">
      <c r="A1716" s="5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45107</v>
      </c>
      <c r="G1716" s="5">
        <v>2023</v>
      </c>
      <c r="H1716" s="5" t="s">
        <v>699</v>
      </c>
      <c r="I1716" s="6" t="s">
        <v>1512</v>
      </c>
      <c r="J1716" s="5">
        <v>0</v>
      </c>
      <c r="K1716" s="5">
        <v>2.7700831024930699E-2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5">
        <v>0</v>
      </c>
      <c r="Q1716" s="5">
        <v>2</v>
      </c>
      <c r="R1716" s="5" t="s">
        <v>2680</v>
      </c>
    </row>
    <row r="1717" spans="1:18" hidden="1" x14ac:dyDescent="0.3">
      <c r="A1717" s="21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45199</v>
      </c>
      <c r="G1717" s="5">
        <v>2023</v>
      </c>
      <c r="H1717" s="5" t="s">
        <v>162</v>
      </c>
      <c r="I1717" s="6" t="s">
        <v>28</v>
      </c>
      <c r="J1717" s="5">
        <v>0</v>
      </c>
      <c r="K1717" s="10">
        <v>2.5117345096623198E-2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15">
        <v>0</v>
      </c>
      <c r="Q1717" s="15">
        <v>2</v>
      </c>
      <c r="R1717" s="5" t="s">
        <v>2681</v>
      </c>
    </row>
    <row r="1718" spans="1:18" hidden="1" x14ac:dyDescent="0.3">
      <c r="A1718" s="5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45291</v>
      </c>
      <c r="G1718" s="5">
        <v>2023</v>
      </c>
      <c r="H1718" s="5" t="s">
        <v>23</v>
      </c>
      <c r="I1718" s="6" t="s">
        <v>28</v>
      </c>
      <c r="J1718" s="5">
        <v>0</v>
      </c>
      <c r="K1718" s="5">
        <v>0.28327481646983721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5">
        <v>0</v>
      </c>
      <c r="Q1718" s="5">
        <v>2</v>
      </c>
      <c r="R1718" s="5" t="s">
        <v>918</v>
      </c>
    </row>
    <row r="1719" spans="1:18" hidden="1" x14ac:dyDescent="0.3">
      <c r="A1719" s="21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45382</v>
      </c>
      <c r="G1719" s="5">
        <v>2024</v>
      </c>
      <c r="H1719" s="5" t="s">
        <v>1516</v>
      </c>
      <c r="I1719" s="6" t="s">
        <v>729</v>
      </c>
      <c r="J1719" s="5">
        <v>0</v>
      </c>
      <c r="K1719" s="10">
        <v>2.4404380586315201E-2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15">
        <v>2</v>
      </c>
      <c r="R1719" s="5" t="s">
        <v>2682</v>
      </c>
    </row>
    <row r="1720" spans="1:18" hidden="1" x14ac:dyDescent="0.3">
      <c r="A1720" s="5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45473</v>
      </c>
      <c r="G1720" s="5">
        <v>2024</v>
      </c>
      <c r="H1720" s="5" t="s">
        <v>699</v>
      </c>
      <c r="I1720" s="6" t="s">
        <v>729</v>
      </c>
      <c r="J1720" s="5">
        <v>0</v>
      </c>
      <c r="K1720" s="5">
        <v>0.14879897966413941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5">
        <v>2</v>
      </c>
      <c r="R1720" s="5" t="s">
        <v>2683</v>
      </c>
    </row>
    <row r="1721" spans="1:18" hidden="1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45565</v>
      </c>
      <c r="G1721" s="5">
        <v>2024</v>
      </c>
      <c r="H1721" s="5" t="s">
        <v>162</v>
      </c>
      <c r="I1721" s="6" t="s">
        <v>30</v>
      </c>
      <c r="J1721" s="5">
        <v>0</v>
      </c>
      <c r="K1721" s="54">
        <v>9.651857499975E-4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2684</v>
      </c>
    </row>
    <row r="1722" spans="1:18" hidden="1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45657</v>
      </c>
      <c r="G1722" s="5">
        <v>2024</v>
      </c>
      <c r="H1722" s="5" t="s">
        <v>23</v>
      </c>
      <c r="I1722" s="6" t="s">
        <v>30</v>
      </c>
      <c r="J1722" s="5">
        <v>0</v>
      </c>
      <c r="K1722" s="54">
        <v>0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15">
        <v>0</v>
      </c>
      <c r="Q1722" s="5">
        <v>2</v>
      </c>
      <c r="R1722" s="5" t="s">
        <v>919</v>
      </c>
    </row>
    <row r="1723" spans="1:18" hidden="1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45747</v>
      </c>
      <c r="G1723" s="5">
        <v>2025</v>
      </c>
      <c r="H1723" s="5" t="s">
        <v>1516</v>
      </c>
      <c r="I1723" s="6" t="s">
        <v>700</v>
      </c>
      <c r="J1723" s="5">
        <v>0</v>
      </c>
      <c r="K1723" s="10">
        <v>0</v>
      </c>
      <c r="L1723" s="14" t="str">
        <f t="shared" si="104"/>
        <v/>
      </c>
      <c r="M1723" s="14" t="str">
        <f t="shared" si="105"/>
        <v/>
      </c>
      <c r="N1723" s="11" t="s">
        <v>25</v>
      </c>
      <c r="O1723" s="11" t="s">
        <v>25</v>
      </c>
      <c r="P1723" s="15">
        <v>0</v>
      </c>
      <c r="Q1723" s="15">
        <v>2</v>
      </c>
      <c r="R1723" s="5" t="s">
        <v>2685</v>
      </c>
    </row>
    <row r="1724" spans="1:18" hidden="1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45838</v>
      </c>
      <c r="G1724" s="5">
        <v>2025</v>
      </c>
      <c r="H1724" s="5" t="s">
        <v>699</v>
      </c>
      <c r="I1724" s="6" t="s">
        <v>700</v>
      </c>
      <c r="J1724" s="5">
        <v>0</v>
      </c>
      <c r="K1724" s="5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17" t="s">
        <v>25</v>
      </c>
      <c r="P1724" s="5">
        <v>0</v>
      </c>
      <c r="Q1724" s="5">
        <v>2</v>
      </c>
      <c r="R1724" s="5" t="s">
        <v>2686</v>
      </c>
    </row>
    <row r="1725" spans="1:18" hidden="1" x14ac:dyDescent="0.3">
      <c r="A1725" s="21">
        <v>352</v>
      </c>
      <c r="B1725" s="5" t="s">
        <v>917</v>
      </c>
      <c r="C1725" s="5" t="s">
        <v>901</v>
      </c>
      <c r="D1725" s="5" t="s">
        <v>27</v>
      </c>
      <c r="E1725" s="5" t="s">
        <v>41</v>
      </c>
      <c r="F1725" s="71">
        <v>45930</v>
      </c>
      <c r="G1725" s="5">
        <v>2025</v>
      </c>
      <c r="H1725" s="5" t="s">
        <v>162</v>
      </c>
      <c r="I1725" s="6" t="s">
        <v>32</v>
      </c>
      <c r="J1725" s="5">
        <v>0</v>
      </c>
      <c r="K1725" s="10">
        <v>0.01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920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45107</v>
      </c>
      <c r="G1726" s="5">
        <v>2023</v>
      </c>
      <c r="H1726" s="5" t="s">
        <v>699</v>
      </c>
      <c r="I1726" s="6" t="s">
        <v>1512</v>
      </c>
      <c r="J1726" s="5">
        <v>35</v>
      </c>
      <c r="K1726" s="10">
        <v>40.384615384615003</v>
      </c>
      <c r="L1726" s="14">
        <f t="shared" si="104"/>
        <v>1.1538461538461429</v>
      </c>
      <c r="M1726" s="14">
        <f t="shared" si="105"/>
        <v>1.1538461538461429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2687</v>
      </c>
    </row>
    <row r="1727" spans="1:18" hidden="1" x14ac:dyDescent="0.3">
      <c r="A1727" s="21">
        <v>353</v>
      </c>
      <c r="B1727" s="5" t="s">
        <v>921</v>
      </c>
      <c r="C1727" s="5" t="s">
        <v>922</v>
      </c>
      <c r="D1727" s="5" t="s">
        <v>27</v>
      </c>
      <c r="E1727" s="5" t="s">
        <v>22</v>
      </c>
      <c r="F1727" s="71">
        <v>45291</v>
      </c>
      <c r="G1727" s="5">
        <v>2023</v>
      </c>
      <c r="H1727" s="5" t="s">
        <v>23</v>
      </c>
      <c r="I1727" s="6" t="s">
        <v>28</v>
      </c>
      <c r="J1727" s="5">
        <v>35</v>
      </c>
      <c r="K1727" s="5">
        <v>40.384615384615401</v>
      </c>
      <c r="L1727" s="14">
        <f t="shared" si="104"/>
        <v>1.1538461538461544</v>
      </c>
      <c r="M1727" s="14">
        <f t="shared" si="105"/>
        <v>1.1538461538461544</v>
      </c>
      <c r="N1727" s="5" t="s">
        <v>136</v>
      </c>
      <c r="O1727" s="5" t="s">
        <v>136</v>
      </c>
      <c r="P1727" s="15">
        <v>0</v>
      </c>
      <c r="Q1727" s="15">
        <v>0</v>
      </c>
      <c r="R1727" s="5" t="s">
        <v>923</v>
      </c>
    </row>
    <row r="1728" spans="1:18" hidden="1" x14ac:dyDescent="0.3">
      <c r="A1728" s="21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45107</v>
      </c>
      <c r="G1728" s="5">
        <v>2023</v>
      </c>
      <c r="H1728" s="5" t="s">
        <v>699</v>
      </c>
      <c r="I1728" s="6" t="s">
        <v>1512</v>
      </c>
      <c r="J1728" s="5">
        <v>10</v>
      </c>
      <c r="K1728" s="10">
        <v>5.07</v>
      </c>
      <c r="L1728" s="14">
        <f t="shared" si="104"/>
        <v>0.50700000000000001</v>
      </c>
      <c r="M1728" s="14">
        <f t="shared" si="105"/>
        <v>0.50700000000000001</v>
      </c>
      <c r="N1728" s="5" t="s">
        <v>136</v>
      </c>
      <c r="O1728" s="5" t="s">
        <v>136</v>
      </c>
      <c r="P1728" s="15">
        <v>2</v>
      </c>
      <c r="Q1728" s="15">
        <v>2</v>
      </c>
      <c r="R1728" s="5" t="s">
        <v>2688</v>
      </c>
    </row>
    <row r="1729" spans="1:18" hidden="1" x14ac:dyDescent="0.3">
      <c r="A1729" s="5">
        <v>354</v>
      </c>
      <c r="B1729" s="5" t="s">
        <v>924</v>
      </c>
      <c r="C1729" s="5" t="s">
        <v>922</v>
      </c>
      <c r="D1729" s="5" t="s">
        <v>27</v>
      </c>
      <c r="E1729" s="5" t="s">
        <v>22</v>
      </c>
      <c r="F1729" s="71">
        <v>45291</v>
      </c>
      <c r="G1729" s="5">
        <v>2023</v>
      </c>
      <c r="H1729" s="5" t="s">
        <v>23</v>
      </c>
      <c r="I1729" s="6" t="s">
        <v>28</v>
      </c>
      <c r="J1729" s="5">
        <v>10</v>
      </c>
      <c r="K1729" s="5">
        <v>31.77</v>
      </c>
      <c r="L1729" s="14">
        <f t="shared" si="104"/>
        <v>1.3</v>
      </c>
      <c r="M1729" s="14">
        <f t="shared" si="105"/>
        <v>3.177</v>
      </c>
      <c r="N1729" s="5" t="s">
        <v>136</v>
      </c>
      <c r="O1729" s="5" t="s">
        <v>136</v>
      </c>
      <c r="P1729" s="5">
        <v>0</v>
      </c>
      <c r="Q1729" s="5">
        <v>0</v>
      </c>
      <c r="R1729" s="5" t="s">
        <v>925</v>
      </c>
    </row>
    <row r="1730" spans="1:18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45107</v>
      </c>
      <c r="G1730" s="5">
        <v>2023</v>
      </c>
      <c r="H1730" s="5" t="s">
        <v>699</v>
      </c>
      <c r="I1730" s="6" t="s">
        <v>1512</v>
      </c>
      <c r="J1730" s="5">
        <v>1</v>
      </c>
      <c r="K1730" s="10">
        <v>0.31754780991781001</v>
      </c>
      <c r="L1730" s="14">
        <f t="shared" si="104"/>
        <v>0.31754780991781001</v>
      </c>
      <c r="M1730" s="14">
        <f t="shared" si="105"/>
        <v>0.31754780991781001</v>
      </c>
      <c r="N1730" s="5" t="s">
        <v>128</v>
      </c>
      <c r="O1730" s="5" t="s">
        <v>136</v>
      </c>
      <c r="P1730" s="15">
        <v>1</v>
      </c>
      <c r="Q1730" s="15">
        <v>1</v>
      </c>
      <c r="R1730" s="5" t="s">
        <v>2689</v>
      </c>
    </row>
    <row r="1731" spans="1:18" hidden="1" x14ac:dyDescent="0.3">
      <c r="A1731" s="21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45291</v>
      </c>
      <c r="G1731" s="5">
        <v>2023</v>
      </c>
      <c r="H1731" s="5" t="s">
        <v>23</v>
      </c>
      <c r="I1731" s="6" t="s">
        <v>28</v>
      </c>
      <c r="J1731" s="5">
        <v>1</v>
      </c>
      <c r="K1731" s="10">
        <v>1.64916004403234</v>
      </c>
      <c r="L1731" s="14">
        <f t="shared" si="104"/>
        <v>1.3</v>
      </c>
      <c r="M1731" s="14">
        <f t="shared" si="105"/>
        <v>1.64916004403234</v>
      </c>
      <c r="N1731" s="5" t="s">
        <v>136</v>
      </c>
      <c r="O1731" s="5" t="s">
        <v>136</v>
      </c>
      <c r="P1731" s="15">
        <v>0</v>
      </c>
      <c r="Q1731" s="15">
        <v>0</v>
      </c>
      <c r="R1731" s="5" t="s">
        <v>928</v>
      </c>
    </row>
    <row r="1732" spans="1:18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45657</v>
      </c>
      <c r="G1732" s="5">
        <v>2024</v>
      </c>
      <c r="H1732" s="5" t="s">
        <v>23</v>
      </c>
      <c r="I1732" s="6" t="s">
        <v>30</v>
      </c>
      <c r="J1732" s="5">
        <v>1.7</v>
      </c>
      <c r="K1732" s="5">
        <v>1.69</v>
      </c>
      <c r="L1732" s="14">
        <f t="shared" si="104"/>
        <v>0.99411764705882355</v>
      </c>
      <c r="M1732" s="14">
        <f t="shared" si="105"/>
        <v>0.99411764705882355</v>
      </c>
      <c r="N1732" s="5"/>
      <c r="O1732" s="5"/>
      <c r="P1732" s="5">
        <v>0</v>
      </c>
      <c r="Q1732" s="5">
        <v>0</v>
      </c>
      <c r="R1732" s="5" t="s">
        <v>929</v>
      </c>
    </row>
    <row r="1733" spans="1:18" hidden="1" x14ac:dyDescent="0.3">
      <c r="A1733" s="5">
        <v>355</v>
      </c>
      <c r="B1733" s="5" t="s">
        <v>926</v>
      </c>
      <c r="C1733" s="5" t="s">
        <v>927</v>
      </c>
      <c r="D1733" s="5" t="s">
        <v>71</v>
      </c>
      <c r="E1733" s="5" t="s">
        <v>22</v>
      </c>
      <c r="F1733" s="71">
        <v>46022</v>
      </c>
      <c r="G1733" s="5">
        <v>2025</v>
      </c>
      <c r="H1733" s="5" t="s">
        <v>23</v>
      </c>
      <c r="I1733" s="6" t="s">
        <v>32</v>
      </c>
      <c r="J1733" s="5">
        <v>1.4</v>
      </c>
      <c r="K1733" s="5">
        <v>1.56</v>
      </c>
      <c r="L1733" s="14">
        <f t="shared" si="104"/>
        <v>1.1142857142857143</v>
      </c>
      <c r="M1733" s="14">
        <f t="shared" si="105"/>
        <v>1.1142857142857143</v>
      </c>
      <c r="N1733" s="5" t="s">
        <v>128</v>
      </c>
      <c r="O1733" s="5" t="s">
        <v>136</v>
      </c>
      <c r="P1733" s="15">
        <v>1</v>
      </c>
      <c r="Q1733" s="5">
        <v>1</v>
      </c>
      <c r="R1733" s="5" t="s">
        <v>930</v>
      </c>
    </row>
    <row r="1734" spans="1:18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45107</v>
      </c>
      <c r="G1734" s="5">
        <v>2023</v>
      </c>
      <c r="H1734" s="5" t="s">
        <v>699</v>
      </c>
      <c r="I1734" s="6" t="s">
        <v>1512</v>
      </c>
      <c r="J1734" s="73">
        <v>60</v>
      </c>
      <c r="K1734" s="9">
        <v>49.213961407602</v>
      </c>
      <c r="L1734" s="14">
        <f t="shared" si="104"/>
        <v>1.219166234212796</v>
      </c>
      <c r="M1734" s="14">
        <f t="shared" si="105"/>
        <v>1.219166234212796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2690</v>
      </c>
    </row>
    <row r="1735" spans="1:18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60</v>
      </c>
      <c r="K1735" s="5">
        <v>61.54</v>
      </c>
      <c r="L1735" s="14">
        <f t="shared" si="104"/>
        <v>0.9749756256093598</v>
      </c>
      <c r="M1735" s="14">
        <f t="shared" si="105"/>
        <v>0.9749756256093598</v>
      </c>
      <c r="N1735" s="5" t="s">
        <v>25</v>
      </c>
      <c r="O1735" s="5" t="s">
        <v>25</v>
      </c>
      <c r="P1735" s="15">
        <v>0</v>
      </c>
      <c r="Q1735" s="15">
        <v>0</v>
      </c>
      <c r="R1735" s="5" t="s">
        <v>932</v>
      </c>
    </row>
    <row r="1736" spans="1:18" hidden="1" x14ac:dyDescent="0.3">
      <c r="A1736" s="21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1">
        <v>45473</v>
      </c>
      <c r="G1736" s="5">
        <v>2024</v>
      </c>
      <c r="H1736" s="5" t="s">
        <v>699</v>
      </c>
      <c r="I1736" s="6" t="s">
        <v>729</v>
      </c>
      <c r="J1736" s="5">
        <v>60</v>
      </c>
      <c r="K1736" s="5">
        <v>54.08</v>
      </c>
      <c r="L1736" s="14">
        <f t="shared" si="104"/>
        <v>1.1094674556213018</v>
      </c>
      <c r="M1736" s="14">
        <f t="shared" si="105"/>
        <v>1.1094674556213018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2691</v>
      </c>
    </row>
    <row r="1737" spans="1:18" hidden="1" x14ac:dyDescent="0.3">
      <c r="A1737" s="5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60</v>
      </c>
      <c r="K1737" s="9">
        <v>65.55</v>
      </c>
      <c r="L1737" s="14">
        <f t="shared" si="104"/>
        <v>0.91533180778032042</v>
      </c>
      <c r="M1737" s="14">
        <f t="shared" si="105"/>
        <v>0.91533180778032042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933</v>
      </c>
    </row>
    <row r="1738" spans="1:18" hidden="1" x14ac:dyDescent="0.3">
      <c r="A1738" s="28">
        <v>356</v>
      </c>
      <c r="B1738" s="5" t="s">
        <v>931</v>
      </c>
      <c r="C1738" s="5" t="s">
        <v>927</v>
      </c>
      <c r="D1738" s="5" t="s">
        <v>27</v>
      </c>
      <c r="E1738" s="5" t="s">
        <v>41</v>
      </c>
      <c r="F1738" s="70">
        <v>45838</v>
      </c>
      <c r="G1738" s="5">
        <v>2025</v>
      </c>
      <c r="H1738" s="5" t="s">
        <v>699</v>
      </c>
      <c r="I1738" s="6" t="s">
        <v>700</v>
      </c>
      <c r="J1738" s="3">
        <v>60</v>
      </c>
      <c r="K1738" s="9">
        <v>49.14</v>
      </c>
      <c r="L1738" s="14">
        <f t="shared" si="104"/>
        <v>1.2210012210012209</v>
      </c>
      <c r="M1738" s="14">
        <f t="shared" si="105"/>
        <v>1.2210012210012209</v>
      </c>
      <c r="N1738" s="5" t="s">
        <v>25</v>
      </c>
      <c r="O1738" s="5" t="s">
        <v>25</v>
      </c>
      <c r="P1738" s="15">
        <v>1</v>
      </c>
      <c r="Q1738" s="15">
        <v>1</v>
      </c>
      <c r="R1738" s="5" t="s">
        <v>2692</v>
      </c>
    </row>
    <row r="1739" spans="1:18" hidden="1" x14ac:dyDescent="0.3">
      <c r="A1739" s="21">
        <v>356</v>
      </c>
      <c r="B1739" s="5" t="s">
        <v>931</v>
      </c>
      <c r="C1739" s="5" t="s">
        <v>927</v>
      </c>
      <c r="D1739" s="5" t="s">
        <v>21</v>
      </c>
      <c r="E1739" s="5" t="s">
        <v>41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60</v>
      </c>
      <c r="K1739" s="10">
        <v>64.77</v>
      </c>
      <c r="L1739" s="14">
        <f t="shared" si="104"/>
        <v>0.92635479388605846</v>
      </c>
      <c r="M1739" s="14">
        <f t="shared" si="105"/>
        <v>0.92635479388605846</v>
      </c>
      <c r="N1739" s="5" t="s">
        <v>25</v>
      </c>
      <c r="O1739" s="5" t="s">
        <v>25</v>
      </c>
      <c r="P1739" s="15">
        <v>0</v>
      </c>
      <c r="Q1739" s="15">
        <v>1</v>
      </c>
      <c r="R1739" s="5" t="s">
        <v>934</v>
      </c>
    </row>
    <row r="1740" spans="1:18" hidden="1" x14ac:dyDescent="0.3">
      <c r="A1740" s="28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45107</v>
      </c>
      <c r="G1740" s="5">
        <v>2023</v>
      </c>
      <c r="H1740" s="5" t="s">
        <v>699</v>
      </c>
      <c r="I1740" s="6" t="s">
        <v>1512</v>
      </c>
      <c r="J1740" s="5"/>
      <c r="K1740" s="5">
        <v>3.0055354363175999</v>
      </c>
      <c r="L1740" s="14"/>
      <c r="M1740" s="14"/>
      <c r="N1740" s="5" t="s">
        <v>263</v>
      </c>
      <c r="O1740" s="5" t="s">
        <v>136</v>
      </c>
      <c r="P1740" s="15">
        <v>2</v>
      </c>
      <c r="Q1740" s="15">
        <v>2</v>
      </c>
      <c r="R1740" s="5" t="s">
        <v>2693</v>
      </c>
    </row>
    <row r="1741" spans="1:18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45291</v>
      </c>
      <c r="G1741" s="5">
        <v>2023</v>
      </c>
      <c r="H1741" s="5" t="s">
        <v>23</v>
      </c>
      <c r="I1741" s="6" t="s">
        <v>28</v>
      </c>
      <c r="J1741" s="73"/>
      <c r="K1741" s="9">
        <v>4.45</v>
      </c>
      <c r="L1741" s="14"/>
      <c r="M1741" s="14"/>
      <c r="N1741" s="5" t="s">
        <v>263</v>
      </c>
      <c r="O1741" s="5" t="s">
        <v>136</v>
      </c>
      <c r="P1741" s="15">
        <v>0</v>
      </c>
      <c r="Q1741" s="15">
        <v>0</v>
      </c>
      <c r="R1741" s="5" t="s">
        <v>936</v>
      </c>
    </row>
    <row r="1742" spans="1:18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/>
      <c r="K1742" s="10">
        <v>3.87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2694</v>
      </c>
    </row>
    <row r="1743" spans="1:18" hidden="1" x14ac:dyDescent="0.3">
      <c r="A1743" s="21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45657</v>
      </c>
      <c r="G1743" s="5">
        <v>2024</v>
      </c>
      <c r="H1743" s="5" t="s">
        <v>23</v>
      </c>
      <c r="I1743" s="6" t="s">
        <v>30</v>
      </c>
      <c r="J1743" s="5"/>
      <c r="K1743" s="10">
        <v>0.51</v>
      </c>
      <c r="L1743" s="14"/>
      <c r="M1743" s="14"/>
      <c r="N1743" s="5" t="s">
        <v>263</v>
      </c>
      <c r="O1743" s="5" t="s">
        <v>136</v>
      </c>
      <c r="P1743" s="15">
        <v>2</v>
      </c>
      <c r="Q1743" s="15">
        <v>2</v>
      </c>
      <c r="R1743" s="5" t="s">
        <v>937</v>
      </c>
    </row>
    <row r="1744" spans="1:18" hidden="1" x14ac:dyDescent="0.3">
      <c r="A1744" s="5">
        <v>357</v>
      </c>
      <c r="B1744" s="5" t="s">
        <v>935</v>
      </c>
      <c r="C1744" s="5" t="s">
        <v>927</v>
      </c>
      <c r="D1744" s="5" t="s">
        <v>27</v>
      </c>
      <c r="E1744" s="5" t="s">
        <v>22</v>
      </c>
      <c r="F1744" s="71">
        <v>45838</v>
      </c>
      <c r="G1744" s="5">
        <v>2025</v>
      </c>
      <c r="H1744" s="5" t="s">
        <v>699</v>
      </c>
      <c r="I1744" s="6" t="s">
        <v>700</v>
      </c>
      <c r="J1744" s="5"/>
      <c r="K1744" s="5">
        <v>0.85</v>
      </c>
      <c r="L1744" s="8"/>
      <c r="M1744" s="14"/>
      <c r="N1744" s="5" t="s">
        <v>263</v>
      </c>
      <c r="O1744" s="5" t="s">
        <v>136</v>
      </c>
      <c r="P1744" s="5">
        <v>2</v>
      </c>
      <c r="Q1744" s="5">
        <v>2</v>
      </c>
      <c r="R1744" s="5" t="s">
        <v>2695</v>
      </c>
    </row>
    <row r="1745" spans="1:19" hidden="1" x14ac:dyDescent="0.3">
      <c r="A1745" s="5">
        <v>357</v>
      </c>
      <c r="B1745" s="5" t="s">
        <v>938</v>
      </c>
      <c r="C1745" s="5" t="s">
        <v>927</v>
      </c>
      <c r="D1745" s="5" t="s">
        <v>21</v>
      </c>
      <c r="E1745" s="5" t="s">
        <v>22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10049277970</v>
      </c>
      <c r="K1745" s="5">
        <v>0.44</v>
      </c>
      <c r="L1745" s="8"/>
      <c r="M1745" s="14"/>
      <c r="N1745" s="5" t="s">
        <v>263</v>
      </c>
      <c r="O1745" s="5"/>
      <c r="P1745" s="5">
        <v>0</v>
      </c>
      <c r="Q1745" s="5">
        <v>2</v>
      </c>
      <c r="R1745" s="5" t="s">
        <v>939</v>
      </c>
      <c r="S1745" t="s">
        <v>263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>
        <v>87</v>
      </c>
      <c r="K1746" s="5">
        <v>86.984536082473994</v>
      </c>
      <c r="L1746" s="14">
        <f t="shared" ref="L1746:L1758" si="106">IFERROR(IF(OR(J1746=0,K1746=""),"",IF(E1746="Positivo",MIN(MAX(K1746/J1746,0),1.3),MIN(MAX(J1746/K1746,0),1.3))),"")</f>
        <v>0.99982225382154011</v>
      </c>
      <c r="M1746" s="14">
        <f t="shared" ref="M1746:M1758" si="107">IFERROR(IF(OR(J1746=0,K1746=""),"",IF(E1746="Positivo",MAX(K1746/J1746,0),MAX(J1746/K1746,0))),"")</f>
        <v>0.99982225382154011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2696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5">
        <v>87</v>
      </c>
      <c r="K1747" s="5">
        <v>95</v>
      </c>
      <c r="L1747" s="14">
        <f t="shared" si="106"/>
        <v>1.0919540229885059</v>
      </c>
      <c r="M1747" s="14">
        <f t="shared" si="107"/>
        <v>1.0919540229885059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942</v>
      </c>
    </row>
    <row r="1748" spans="1:19" hidden="1" x14ac:dyDescent="0.3">
      <c r="A1748" s="5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>
        <v>87</v>
      </c>
      <c r="K1748" s="5">
        <v>97.99</v>
      </c>
      <c r="L1748" s="14">
        <f t="shared" si="106"/>
        <v>1.1263218390804597</v>
      </c>
      <c r="M1748" s="14">
        <f t="shared" si="107"/>
        <v>1.1263218390804597</v>
      </c>
      <c r="N1748" s="5" t="s">
        <v>25</v>
      </c>
      <c r="O1748" s="5" t="s">
        <v>25</v>
      </c>
      <c r="P1748" s="5">
        <v>0</v>
      </c>
      <c r="Q1748" s="5">
        <v>0</v>
      </c>
      <c r="R1748" s="5" t="s">
        <v>2697</v>
      </c>
    </row>
    <row r="1749" spans="1:19" hidden="1" x14ac:dyDescent="0.3">
      <c r="A1749" s="21">
        <v>358</v>
      </c>
      <c r="B1749" s="5" t="s">
        <v>940</v>
      </c>
      <c r="C1749" s="5" t="s">
        <v>941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>
        <v>87</v>
      </c>
      <c r="K1749" s="10">
        <v>100</v>
      </c>
      <c r="L1749" s="14">
        <f t="shared" si="106"/>
        <v>1.1494252873563218</v>
      </c>
      <c r="M1749" s="55">
        <f t="shared" si="107"/>
        <v>1.1494252873563218</v>
      </c>
      <c r="N1749" s="5" t="s">
        <v>25</v>
      </c>
      <c r="O1749" s="5" t="s">
        <v>25</v>
      </c>
      <c r="P1749" s="15">
        <v>0</v>
      </c>
      <c r="Q1749" s="15">
        <v>0</v>
      </c>
      <c r="R1749" s="5" t="s">
        <v>943</v>
      </c>
    </row>
    <row r="1750" spans="1:19" hidden="1" x14ac:dyDescent="0.3">
      <c r="A1750" s="5">
        <v>358</v>
      </c>
      <c r="B1750" s="5" t="s">
        <v>944</v>
      </c>
      <c r="C1750" s="5" t="s">
        <v>941</v>
      </c>
      <c r="D1750" s="5" t="s">
        <v>21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2698</v>
      </c>
    </row>
    <row r="1751" spans="1:19" hidden="1" x14ac:dyDescent="0.3">
      <c r="A1751" s="5">
        <v>358</v>
      </c>
      <c r="B1751" s="5" t="s">
        <v>940</v>
      </c>
      <c r="C1751" s="5" t="s">
        <v>941</v>
      </c>
      <c r="D1751" s="5" t="s">
        <v>27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</v>
      </c>
      <c r="K1751" s="5">
        <v>100</v>
      </c>
      <c r="L1751" s="14">
        <f t="shared" si="106"/>
        <v>1</v>
      </c>
      <c r="M1751" s="14">
        <f t="shared" si="107"/>
        <v>1</v>
      </c>
      <c r="N1751" s="5" t="s">
        <v>25</v>
      </c>
      <c r="O1751" s="5" t="s">
        <v>25</v>
      </c>
      <c r="P1751" s="5">
        <v>0</v>
      </c>
      <c r="Q1751" s="5">
        <v>0</v>
      </c>
      <c r="R1751" s="5" t="s">
        <v>945</v>
      </c>
    </row>
    <row r="1752" spans="1:19" hidden="1" x14ac:dyDescent="0.3">
      <c r="A1752" s="21">
        <v>359</v>
      </c>
      <c r="B1752" s="5" t="s">
        <v>948</v>
      </c>
      <c r="C1752" s="5" t="s">
        <v>653</v>
      </c>
      <c r="D1752" s="5" t="s">
        <v>21</v>
      </c>
      <c r="E1752" s="5" t="s">
        <v>22</v>
      </c>
      <c r="F1752" s="71">
        <v>45473</v>
      </c>
      <c r="G1752" s="5">
        <v>2024</v>
      </c>
      <c r="H1752" s="5" t="s">
        <v>699</v>
      </c>
      <c r="I1752" s="6" t="s">
        <v>729</v>
      </c>
      <c r="J1752" s="5">
        <v>80</v>
      </c>
      <c r="K1752" s="60">
        <v>0</v>
      </c>
      <c r="L1752" s="14">
        <f t="shared" si="106"/>
        <v>0</v>
      </c>
      <c r="M1752" s="14">
        <f t="shared" si="107"/>
        <v>0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2699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45657</v>
      </c>
      <c r="G1753" s="5">
        <v>2024</v>
      </c>
      <c r="H1753" s="5" t="s">
        <v>23</v>
      </c>
      <c r="I1753" s="6" t="s">
        <v>30</v>
      </c>
      <c r="J1753" s="5">
        <v>80</v>
      </c>
      <c r="K1753" s="60">
        <v>86</v>
      </c>
      <c r="L1753" s="14">
        <f t="shared" si="106"/>
        <v>1.075</v>
      </c>
      <c r="M1753" s="14">
        <f t="shared" si="107"/>
        <v>1.075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947</v>
      </c>
    </row>
    <row r="1754" spans="1:19" hidden="1" x14ac:dyDescent="0.3">
      <c r="A1754" s="21">
        <v>359</v>
      </c>
      <c r="B1754" s="5" t="s">
        <v>946</v>
      </c>
      <c r="C1754" s="5" t="s">
        <v>653</v>
      </c>
      <c r="D1754" s="5" t="s">
        <v>27</v>
      </c>
      <c r="E1754" s="5" t="s">
        <v>22</v>
      </c>
      <c r="F1754" s="71">
        <v>45838</v>
      </c>
      <c r="G1754" s="5">
        <v>2025</v>
      </c>
      <c r="H1754" s="5" t="s">
        <v>699</v>
      </c>
      <c r="I1754" s="6" t="s">
        <v>700</v>
      </c>
      <c r="J1754" s="5">
        <v>80</v>
      </c>
      <c r="K1754" s="60">
        <v>90</v>
      </c>
      <c r="L1754" s="14">
        <f t="shared" si="106"/>
        <v>1.125</v>
      </c>
      <c r="M1754" s="14">
        <f t="shared" si="107"/>
        <v>1.125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2700</v>
      </c>
    </row>
    <row r="1755" spans="1:19" hidden="1" x14ac:dyDescent="0.3">
      <c r="A1755" s="21">
        <v>359</v>
      </c>
      <c r="B1755" s="5" t="s">
        <v>948</v>
      </c>
      <c r="C1755" s="5" t="s">
        <v>653</v>
      </c>
      <c r="D1755" s="5" t="s">
        <v>21</v>
      </c>
      <c r="E1755" s="5" t="s">
        <v>22</v>
      </c>
      <c r="F1755" s="71">
        <v>46022</v>
      </c>
      <c r="G1755" s="5">
        <v>2025</v>
      </c>
      <c r="H1755" s="5" t="s">
        <v>23</v>
      </c>
      <c r="I1755" s="6" t="s">
        <v>32</v>
      </c>
      <c r="J1755" s="5">
        <v>85</v>
      </c>
      <c r="K1755" s="60">
        <v>89.9</v>
      </c>
      <c r="L1755" s="14">
        <f t="shared" si="106"/>
        <v>1.0576470588235294</v>
      </c>
      <c r="M1755" s="14">
        <f t="shared" si="107"/>
        <v>1.0576470588235294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949</v>
      </c>
    </row>
    <row r="1756" spans="1:19" hidden="1" x14ac:dyDescent="0.3">
      <c r="A1756" s="21">
        <v>360</v>
      </c>
      <c r="B1756" s="5" t="s">
        <v>2701</v>
      </c>
      <c r="C1756" s="5" t="s">
        <v>2702</v>
      </c>
      <c r="D1756" s="5" t="s">
        <v>27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1512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360</v>
      </c>
      <c r="B1757" s="5" t="s">
        <v>2701</v>
      </c>
      <c r="C1757" s="5" t="s">
        <v>653</v>
      </c>
      <c r="D1757" s="5" t="s">
        <v>27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0</v>
      </c>
      <c r="K1757" s="60">
        <v>0</v>
      </c>
      <c r="L1757" s="14" t="str">
        <f t="shared" si="106"/>
        <v/>
      </c>
      <c r="M1757" s="14" t="str">
        <f t="shared" si="107"/>
        <v/>
      </c>
      <c r="N1757" s="5"/>
      <c r="O1757" s="5"/>
      <c r="P1757" s="15">
        <v>0</v>
      </c>
      <c r="Q1757" s="15">
        <v>0</v>
      </c>
      <c r="R1757" s="5" t="s">
        <v>2704</v>
      </c>
    </row>
    <row r="1758" spans="1:19" hidden="1" x14ac:dyDescent="0.3">
      <c r="A1758" s="21">
        <v>361</v>
      </c>
      <c r="B1758" s="5" t="s">
        <v>2705</v>
      </c>
      <c r="C1758" s="5" t="s">
        <v>951</v>
      </c>
      <c r="D1758" s="5" t="s">
        <v>71</v>
      </c>
      <c r="E1758" s="5" t="s">
        <v>22</v>
      </c>
      <c r="F1758" s="71">
        <v>45291</v>
      </c>
      <c r="G1758" s="5">
        <v>2023</v>
      </c>
      <c r="H1758" s="5" t="s">
        <v>23</v>
      </c>
      <c r="I1758" s="6" t="s">
        <v>28</v>
      </c>
      <c r="J1758" s="5">
        <v>4.5</v>
      </c>
      <c r="K1758" s="60">
        <v>4.5599999999999996</v>
      </c>
      <c r="L1758" s="14">
        <f t="shared" si="106"/>
        <v>1.0133333333333332</v>
      </c>
      <c r="M1758" s="14">
        <f t="shared" si="107"/>
        <v>1.0133333333333332</v>
      </c>
      <c r="N1758" s="5"/>
      <c r="O1758" s="5"/>
      <c r="P1758" s="15">
        <v>2</v>
      </c>
      <c r="Q1758" s="15">
        <v>2</v>
      </c>
      <c r="R1758" s="5" t="s">
        <v>952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/>
      <c r="K1759" s="10"/>
      <c r="L1759" s="14"/>
      <c r="M1759" s="14"/>
      <c r="N1759" s="5" t="s">
        <v>136</v>
      </c>
      <c r="O1759" s="5" t="s">
        <v>302</v>
      </c>
      <c r="P1759" s="15">
        <v>1</v>
      </c>
      <c r="Q1759" s="15">
        <v>2</v>
      </c>
      <c r="R1759" s="5" t="s">
        <v>953</v>
      </c>
      <c r="S1759" t="s">
        <v>302</v>
      </c>
    </row>
    <row r="1760" spans="1:19" hidden="1" x14ac:dyDescent="0.3">
      <c r="A1760" s="21">
        <v>361</v>
      </c>
      <c r="B1760" s="5" t="s">
        <v>950</v>
      </c>
      <c r="C1760" s="5" t="s">
        <v>951</v>
      </c>
      <c r="D1760" s="5" t="s">
        <v>71</v>
      </c>
      <c r="E1760" s="5" t="s">
        <v>22</v>
      </c>
      <c r="F1760" s="71">
        <v>46022</v>
      </c>
      <c r="G1760" s="5">
        <v>2025</v>
      </c>
      <c r="H1760" s="5" t="s">
        <v>23</v>
      </c>
      <c r="I1760" s="6" t="s">
        <v>32</v>
      </c>
      <c r="J1760" s="5">
        <v>4.5999999999999996</v>
      </c>
      <c r="K1760" s="10">
        <v>4.78</v>
      </c>
      <c r="L1760" s="14">
        <f>IFERROR(IF(OR(J1760=0,K1760=""),"",IF(E1760="Positivo",MIN(MAX(K1760/J1760,0),1.3),MIN(MAX(J1760/K1760,0),1.3))),"")</f>
        <v>1.0391304347826089</v>
      </c>
      <c r="M1760" s="14">
        <f>IFERROR(IF(OR(J1760=0,K1760=""),"",IF(E1760="Positivo",MAX(K1760/J1760,0),MAX(J1760/K1760,0))),"")</f>
        <v>1.0391304347826089</v>
      </c>
      <c r="N1760" s="5" t="s">
        <v>136</v>
      </c>
      <c r="O1760" s="5" t="s">
        <v>136</v>
      </c>
      <c r="P1760" s="15">
        <v>1</v>
      </c>
      <c r="Q1760" s="15">
        <v>2</v>
      </c>
      <c r="R1760" s="5" t="s">
        <v>954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45016</v>
      </c>
      <c r="G1761" s="5">
        <v>2023</v>
      </c>
      <c r="H1761" s="5" t="s">
        <v>1516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21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/>
      <c r="K1762" s="10"/>
      <c r="L1762" s="14"/>
      <c r="M1762" s="14"/>
      <c r="N1762" s="5" t="s">
        <v>25</v>
      </c>
      <c r="O1762" s="5" t="s">
        <v>302</v>
      </c>
      <c r="P1762" s="15">
        <v>0</v>
      </c>
      <c r="Q1762" s="15">
        <v>0</v>
      </c>
      <c r="R1762" s="5" t="s">
        <v>2707</v>
      </c>
      <c r="S1762" t="s">
        <v>302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100</v>
      </c>
      <c r="K1763" s="10">
        <v>99.156641448591998</v>
      </c>
      <c r="L1763" s="14">
        <f t="shared" ref="L1763:L1794" si="108">IFERROR(IF(OR(J1763=0,K1763=""),"",IF(E1763="Positivo",MIN(MAX(K1763/J1763,0),1.3),MIN(MAX(J1763/K1763,0),1.3))),"")</f>
        <v>0.99156641448591998</v>
      </c>
      <c r="M1763" s="14">
        <f t="shared" ref="M1763:M1794" si="109">IFERROR(IF(OR(J1763=0,K1763=""),"",IF(E1763="Positivo",MAX(K1763/J1763,0),MAX(J1763/K1763,0))),"")</f>
        <v>0.99156641448591998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957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45473</v>
      </c>
      <c r="G1764" s="5">
        <v>2024</v>
      </c>
      <c r="H1764" s="5" t="s">
        <v>699</v>
      </c>
      <c r="I1764" s="6" t="s">
        <v>729</v>
      </c>
      <c r="J1764" s="5">
        <v>98</v>
      </c>
      <c r="K1764" s="10">
        <v>99.584323040380056</v>
      </c>
      <c r="L1764" s="14">
        <f t="shared" si="108"/>
        <v>1.0161665616365312</v>
      </c>
      <c r="M1764" s="14">
        <f t="shared" si="109"/>
        <v>1.0161665616365312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2708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>
        <v>98</v>
      </c>
      <c r="K1765" s="10">
        <v>99.49</v>
      </c>
      <c r="L1765" s="14">
        <f t="shared" si="108"/>
        <v>1.0152040816326531</v>
      </c>
      <c r="M1765" s="14">
        <f t="shared" si="109"/>
        <v>1.0152040816326531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958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27</v>
      </c>
      <c r="E1766" s="5" t="s">
        <v>22</v>
      </c>
      <c r="F1766" s="71">
        <v>45838</v>
      </c>
      <c r="G1766" s="5">
        <v>2025</v>
      </c>
      <c r="H1766" s="5" t="s">
        <v>699</v>
      </c>
      <c r="I1766" s="6" t="s">
        <v>700</v>
      </c>
      <c r="J1766" s="5">
        <v>98</v>
      </c>
      <c r="K1766" s="10">
        <v>99.63</v>
      </c>
      <c r="L1766" s="14">
        <f t="shared" si="108"/>
        <v>1.0166326530612244</v>
      </c>
      <c r="M1766" s="14">
        <f t="shared" si="109"/>
        <v>1.0166326530612244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2709</v>
      </c>
    </row>
    <row r="1767" spans="1:19" hidden="1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46022</v>
      </c>
      <c r="G1767" s="5">
        <v>2025</v>
      </c>
      <c r="H1767" s="5" t="s">
        <v>23</v>
      </c>
      <c r="I1767" s="6" t="s">
        <v>32</v>
      </c>
      <c r="J1767" s="5">
        <v>98</v>
      </c>
      <c r="K1767" s="10">
        <v>99.7</v>
      </c>
      <c r="L1767" s="14">
        <f t="shared" si="108"/>
        <v>1.0173469387755103</v>
      </c>
      <c r="M1767" s="14">
        <f t="shared" si="109"/>
        <v>1.0173469387755103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959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45291</v>
      </c>
      <c r="G1768" s="5">
        <v>2023</v>
      </c>
      <c r="H1768" s="5" t="s">
        <v>23</v>
      </c>
      <c r="I1768" s="6" t="s">
        <v>28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961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45473</v>
      </c>
      <c r="G1769" s="5">
        <v>2024</v>
      </c>
      <c r="H1769" s="5" t="s">
        <v>699</v>
      </c>
      <c r="I1769" s="6" t="s">
        <v>729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2710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27</v>
      </c>
      <c r="E1770" s="5" t="s">
        <v>22</v>
      </c>
      <c r="F1770" s="71">
        <v>45657</v>
      </c>
      <c r="G1770" s="5">
        <v>2024</v>
      </c>
      <c r="H1770" s="5" t="s">
        <v>23</v>
      </c>
      <c r="I1770" s="6" t="s">
        <v>30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962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45838</v>
      </c>
      <c r="G1771" s="5">
        <v>2025</v>
      </c>
      <c r="H1771" s="5" t="s">
        <v>699</v>
      </c>
      <c r="I1771" s="6" t="s">
        <v>700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2711</v>
      </c>
    </row>
    <row r="1772" spans="1:19" hidden="1" x14ac:dyDescent="0.3">
      <c r="A1772" s="21">
        <v>363</v>
      </c>
      <c r="B1772" s="5" t="s">
        <v>960</v>
      </c>
      <c r="C1772" s="5" t="s">
        <v>956</v>
      </c>
      <c r="D1772" s="5" t="s">
        <v>21</v>
      </c>
      <c r="E1772" s="5" t="s">
        <v>22</v>
      </c>
      <c r="F1772" s="71">
        <v>46022</v>
      </c>
      <c r="G1772" s="5">
        <v>2025</v>
      </c>
      <c r="H1772" s="5" t="s">
        <v>23</v>
      </c>
      <c r="I1772" s="6" t="s">
        <v>32</v>
      </c>
      <c r="J1772" s="5">
        <v>100</v>
      </c>
      <c r="K1772" s="10">
        <v>100</v>
      </c>
      <c r="L1772" s="14">
        <f t="shared" si="108"/>
        <v>1</v>
      </c>
      <c r="M1772" s="14">
        <f t="shared" si="109"/>
        <v>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963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45107</v>
      </c>
      <c r="G1773" s="5">
        <v>2023</v>
      </c>
      <c r="H1773" s="5" t="s">
        <v>699</v>
      </c>
      <c r="I1773" s="6" t="s">
        <v>1512</v>
      </c>
      <c r="J1773" s="5">
        <v>0</v>
      </c>
      <c r="K1773" s="10">
        <v>30244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2712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0</v>
      </c>
      <c r="K1774" s="10">
        <v>78450</v>
      </c>
      <c r="L1774" s="14" t="str">
        <f t="shared" si="108"/>
        <v/>
      </c>
      <c r="M1774" s="14" t="str">
        <f t="shared" si="109"/>
        <v/>
      </c>
      <c r="N1774" s="5"/>
      <c r="O1774" s="5"/>
      <c r="P1774" s="15">
        <v>0</v>
      </c>
      <c r="Q1774" s="15">
        <v>0</v>
      </c>
      <c r="R1774" s="5" t="s">
        <v>965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41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132.72999999999999</v>
      </c>
      <c r="L1775" s="14">
        <f t="shared" si="108"/>
        <v>0.75340917652377015</v>
      </c>
      <c r="M1775" s="14">
        <f t="shared" si="109"/>
        <v>0.75340917652377015</v>
      </c>
      <c r="N1775" s="5"/>
      <c r="O1775" s="5"/>
      <c r="P1775" s="15">
        <v>0</v>
      </c>
      <c r="Q1775" s="15">
        <v>0</v>
      </c>
      <c r="R1775" s="5" t="s">
        <v>2713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98.09</v>
      </c>
      <c r="L1776" s="14">
        <f t="shared" si="108"/>
        <v>0.98089999999999999</v>
      </c>
      <c r="M1776" s="14">
        <f t="shared" si="109"/>
        <v>0.98089999999999999</v>
      </c>
      <c r="N1776" s="5"/>
      <c r="O1776" s="5"/>
      <c r="P1776" s="15">
        <v>0</v>
      </c>
      <c r="Q1776" s="15">
        <v>0</v>
      </c>
      <c r="R1776" s="5" t="s">
        <v>966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93.89</v>
      </c>
      <c r="L1777" s="14">
        <f t="shared" si="108"/>
        <v>0.93889999999999996</v>
      </c>
      <c r="M1777" s="14">
        <f t="shared" si="109"/>
        <v>0.93889999999999996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2714</v>
      </c>
    </row>
    <row r="1778" spans="1:18" hidden="1" x14ac:dyDescent="0.3">
      <c r="A1778" s="21">
        <v>364</v>
      </c>
      <c r="B1778" s="5" t="s">
        <v>964</v>
      </c>
      <c r="C1778" s="5" t="s">
        <v>951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78.11</v>
      </c>
      <c r="L1778" s="14">
        <f t="shared" si="108"/>
        <v>0.78110000000000002</v>
      </c>
      <c r="M1778" s="14">
        <f t="shared" si="109"/>
        <v>0.78110000000000002</v>
      </c>
      <c r="N1778" s="5" t="s">
        <v>128</v>
      </c>
      <c r="O1778" s="5" t="s">
        <v>128</v>
      </c>
      <c r="P1778" s="15">
        <v>0</v>
      </c>
      <c r="Q1778" s="15">
        <v>0</v>
      </c>
      <c r="R1778" s="5" t="s">
        <v>967</v>
      </c>
    </row>
    <row r="1779" spans="1:18" hidden="1" x14ac:dyDescent="0.3">
      <c r="A1779" s="21">
        <v>365</v>
      </c>
      <c r="B1779" s="5" t="s">
        <v>968</v>
      </c>
      <c r="C1779" s="5" t="s">
        <v>956</v>
      </c>
      <c r="D1779" s="5" t="s">
        <v>27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969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971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45657</v>
      </c>
      <c r="G1781" s="5">
        <v>2024</v>
      </c>
      <c r="H1781" s="5" t="s">
        <v>23</v>
      </c>
      <c r="I1781" s="6" t="s">
        <v>30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972</v>
      </c>
    </row>
    <row r="1782" spans="1:18" hidden="1" x14ac:dyDescent="0.3">
      <c r="A1782" s="21">
        <v>366</v>
      </c>
      <c r="B1782" s="5" t="s">
        <v>970</v>
      </c>
      <c r="C1782" s="5" t="s">
        <v>956</v>
      </c>
      <c r="D1782" s="5" t="s">
        <v>71</v>
      </c>
      <c r="E1782" s="5" t="s">
        <v>22</v>
      </c>
      <c r="F1782" s="71">
        <v>46022</v>
      </c>
      <c r="G1782" s="5">
        <v>2025</v>
      </c>
      <c r="H1782" s="5" t="s">
        <v>23</v>
      </c>
      <c r="I1782" s="6" t="s">
        <v>32</v>
      </c>
      <c r="J1782" s="5">
        <v>100</v>
      </c>
      <c r="K1782" s="10">
        <v>100</v>
      </c>
      <c r="L1782" s="14">
        <f t="shared" si="108"/>
        <v>1</v>
      </c>
      <c r="M1782" s="14">
        <f t="shared" si="109"/>
        <v>1</v>
      </c>
      <c r="N1782" s="5" t="s">
        <v>128</v>
      </c>
      <c r="O1782" s="5" t="s">
        <v>128</v>
      </c>
      <c r="P1782" s="15">
        <v>0</v>
      </c>
      <c r="Q1782" s="15">
        <v>0</v>
      </c>
      <c r="R1782" s="5" t="s">
        <v>973</v>
      </c>
    </row>
    <row r="1783" spans="1:18" hidden="1" x14ac:dyDescent="0.3">
      <c r="A1783" s="21">
        <v>367</v>
      </c>
      <c r="B1783" s="5" t="s">
        <v>974</v>
      </c>
      <c r="C1783" s="5" t="s">
        <v>951</v>
      </c>
      <c r="D1783" s="5" t="s">
        <v>71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5</v>
      </c>
      <c r="K1783" s="10">
        <v>6.2497567052045619</v>
      </c>
      <c r="L1783" s="14">
        <f t="shared" si="108"/>
        <v>1.2499513410409124</v>
      </c>
      <c r="M1783" s="14">
        <f t="shared" si="109"/>
        <v>1.2499513410409124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975</v>
      </c>
    </row>
    <row r="1784" spans="1:18" hidden="1" x14ac:dyDescent="0.3">
      <c r="A1784" s="21">
        <v>367</v>
      </c>
      <c r="B1784" s="5" t="s">
        <v>2715</v>
      </c>
      <c r="C1784" s="5" t="s">
        <v>951</v>
      </c>
      <c r="D1784" s="5" t="s">
        <v>71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>
        <v>5</v>
      </c>
      <c r="K1784" s="10">
        <v>4.96</v>
      </c>
      <c r="L1784" s="14">
        <f t="shared" si="108"/>
        <v>0.99199999999999999</v>
      </c>
      <c r="M1784" s="14">
        <f t="shared" si="109"/>
        <v>0.99199999999999999</v>
      </c>
      <c r="N1784" s="5" t="s">
        <v>25</v>
      </c>
      <c r="O1784" s="5" t="s">
        <v>25</v>
      </c>
      <c r="P1784" s="15">
        <v>2</v>
      </c>
      <c r="Q1784" s="15">
        <v>2</v>
      </c>
      <c r="R1784" s="5" t="s">
        <v>976</v>
      </c>
    </row>
    <row r="1785" spans="1:18" hidden="1" x14ac:dyDescent="0.3">
      <c r="A1785" s="21">
        <v>367</v>
      </c>
      <c r="B1785" s="5" t="s">
        <v>2715</v>
      </c>
      <c r="C1785" s="5" t="s">
        <v>951</v>
      </c>
      <c r="D1785" s="5" t="s">
        <v>71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32</v>
      </c>
      <c r="J1785" s="5">
        <v>5</v>
      </c>
      <c r="K1785" s="10">
        <v>3.82</v>
      </c>
      <c r="L1785" s="14">
        <f t="shared" si="108"/>
        <v>0.76400000000000001</v>
      </c>
      <c r="M1785" s="14">
        <f t="shared" si="109"/>
        <v>0.76400000000000001</v>
      </c>
      <c r="N1785" s="5" t="s">
        <v>25</v>
      </c>
      <c r="O1785" s="5" t="s">
        <v>25</v>
      </c>
      <c r="P1785" s="15">
        <v>0</v>
      </c>
      <c r="Q1785" s="15">
        <v>2</v>
      </c>
      <c r="R1785" s="5" t="s">
        <v>977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45199</v>
      </c>
      <c r="G1786" s="5">
        <v>2023</v>
      </c>
      <c r="H1786" s="5" t="s">
        <v>162</v>
      </c>
      <c r="I1786" s="6" t="s">
        <v>28</v>
      </c>
      <c r="J1786" s="5">
        <v>90</v>
      </c>
      <c r="K1786" s="10">
        <v>95</v>
      </c>
      <c r="L1786" s="14">
        <f t="shared" si="108"/>
        <v>1.0555555555555556</v>
      </c>
      <c r="M1786" s="14">
        <f t="shared" si="109"/>
        <v>1.0555555555555556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2716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45291</v>
      </c>
      <c r="G1787" s="5">
        <v>2023</v>
      </c>
      <c r="H1787" s="5" t="s">
        <v>23</v>
      </c>
      <c r="I1787" s="6" t="s">
        <v>28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980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45382</v>
      </c>
      <c r="G1788" s="5">
        <v>2024</v>
      </c>
      <c r="H1788" s="5" t="s">
        <v>1516</v>
      </c>
      <c r="I1788" s="6" t="s">
        <v>729</v>
      </c>
      <c r="J1788" s="5">
        <v>90</v>
      </c>
      <c r="K1788" s="10">
        <v>94</v>
      </c>
      <c r="L1788" s="14">
        <f t="shared" si="108"/>
        <v>1.0444444444444445</v>
      </c>
      <c r="M1788" s="14">
        <f t="shared" si="109"/>
        <v>1.0444444444444445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45473</v>
      </c>
      <c r="G1789" s="5">
        <v>2024</v>
      </c>
      <c r="H1789" s="5" t="s">
        <v>699</v>
      </c>
      <c r="I1789" s="6" t="s">
        <v>729</v>
      </c>
      <c r="J1789" s="5">
        <v>90</v>
      </c>
      <c r="K1789" s="10">
        <v>95</v>
      </c>
      <c r="L1789" s="14">
        <f t="shared" si="108"/>
        <v>1.0555555555555556</v>
      </c>
      <c r="M1789" s="14">
        <f t="shared" si="109"/>
        <v>1.0555555555555556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45565</v>
      </c>
      <c r="G1790" s="5">
        <v>2024</v>
      </c>
      <c r="H1790" s="5" t="s">
        <v>162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2719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90</v>
      </c>
      <c r="K1791" s="10">
        <v>94</v>
      </c>
      <c r="L1791" s="14">
        <f t="shared" si="108"/>
        <v>1.0444444444444445</v>
      </c>
      <c r="M1791" s="14">
        <f t="shared" si="109"/>
        <v>1.0444444444444445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981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45747</v>
      </c>
      <c r="G1792" s="5">
        <v>2025</v>
      </c>
      <c r="H1792" s="5" t="s">
        <v>1516</v>
      </c>
      <c r="I1792" s="6" t="s">
        <v>700</v>
      </c>
      <c r="J1792" s="5">
        <v>93</v>
      </c>
      <c r="K1792" s="10">
        <v>94</v>
      </c>
      <c r="L1792" s="14">
        <f t="shared" si="108"/>
        <v>1.010752688172043</v>
      </c>
      <c r="M1792" s="14">
        <f t="shared" si="109"/>
        <v>1.010752688172043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45838</v>
      </c>
      <c r="G1793" s="5">
        <v>2025</v>
      </c>
      <c r="H1793" s="5" t="s">
        <v>699</v>
      </c>
      <c r="I1793" s="6" t="s">
        <v>700</v>
      </c>
      <c r="J1793" s="5">
        <v>93</v>
      </c>
      <c r="K1793" s="10">
        <v>96</v>
      </c>
      <c r="L1793" s="14">
        <f t="shared" si="108"/>
        <v>1.032258064516129</v>
      </c>
      <c r="M1793" s="14">
        <f t="shared" si="109"/>
        <v>1.032258064516129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45930</v>
      </c>
      <c r="G1794" s="5">
        <v>2025</v>
      </c>
      <c r="H1794" s="5" t="s">
        <v>162</v>
      </c>
      <c r="I1794" s="6" t="s">
        <v>32</v>
      </c>
      <c r="J1794" s="5">
        <v>93</v>
      </c>
      <c r="K1794" s="10">
        <v>95</v>
      </c>
      <c r="L1794" s="14">
        <f t="shared" si="108"/>
        <v>1.021505376344086</v>
      </c>
      <c r="M1794" s="14">
        <f t="shared" si="109"/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2722</v>
      </c>
    </row>
    <row r="1795" spans="1:18" hidden="1" x14ac:dyDescent="0.3">
      <c r="A1795" s="21">
        <v>368</v>
      </c>
      <c r="B1795" s="5" t="s">
        <v>978</v>
      </c>
      <c r="C1795" s="5" t="s">
        <v>982</v>
      </c>
      <c r="D1795" s="5" t="s">
        <v>27</v>
      </c>
      <c r="E1795" s="5" t="s">
        <v>22</v>
      </c>
      <c r="F1795" s="71">
        <v>46022</v>
      </c>
      <c r="G1795" s="5">
        <v>2025</v>
      </c>
      <c r="H1795" s="5" t="s">
        <v>23</v>
      </c>
      <c r="I1795" s="6" t="s">
        <v>32</v>
      </c>
      <c r="J1795" s="5">
        <v>93</v>
      </c>
      <c r="K1795" s="10">
        <v>95</v>
      </c>
      <c r="L1795" s="14">
        <f t="shared" ref="L1795:L1818" si="110">IFERROR(IF(OR(J1795=0,K1795=""),"",IF(E1795="Positivo",MIN(MAX(K1795/J1795,0),1.3),MIN(MAX(J1795/K1795,0),1.3))),"")</f>
        <v>1.021505376344086</v>
      </c>
      <c r="M1795" s="14">
        <f t="shared" ref="M1795:M1831" si="111">IFERROR(IF(OR(J1795=0,K1795=""),"",IF(E1795="Positivo",MAX(K1795/J1795,0),MAX(J1795/K1795,0))),"")</f>
        <v>1.021505376344086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983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45107</v>
      </c>
      <c r="G1796" s="5">
        <v>2023</v>
      </c>
      <c r="H1796" s="5" t="s">
        <v>699</v>
      </c>
      <c r="I1796" s="6" t="s">
        <v>1512</v>
      </c>
      <c r="J1796" s="5">
        <v>0</v>
      </c>
      <c r="K1796" s="10">
        <v>78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2723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45291</v>
      </c>
      <c r="G1797" s="5">
        <v>2023</v>
      </c>
      <c r="H1797" s="5" t="s">
        <v>23</v>
      </c>
      <c r="I1797" s="6" t="s">
        <v>28</v>
      </c>
      <c r="J1797" s="5">
        <v>0</v>
      </c>
      <c r="K1797" s="10">
        <v>96</v>
      </c>
      <c r="L1797" s="14" t="str">
        <f t="shared" si="110"/>
        <v/>
      </c>
      <c r="M1797" s="14" t="str">
        <f t="shared" si="111"/>
        <v/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985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45473</v>
      </c>
      <c r="G1798" s="5">
        <v>2024</v>
      </c>
      <c r="H1798" s="5" t="s">
        <v>699</v>
      </c>
      <c r="I1798" s="6" t="s">
        <v>729</v>
      </c>
      <c r="J1798" s="5">
        <v>100</v>
      </c>
      <c r="K1798" s="10">
        <v>76.25</v>
      </c>
      <c r="L1798" s="14">
        <f t="shared" si="110"/>
        <v>0.76249999999999996</v>
      </c>
      <c r="M1798" s="14">
        <f t="shared" si="111"/>
        <v>0.76249999999999996</v>
      </c>
      <c r="N1798" s="5" t="s">
        <v>355</v>
      </c>
      <c r="O1798" s="5" t="s">
        <v>25</v>
      </c>
      <c r="P1798" s="15">
        <v>0</v>
      </c>
      <c r="Q1798" s="15">
        <v>0</v>
      </c>
      <c r="R1798" s="5" t="s">
        <v>2724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27</v>
      </c>
      <c r="E1799" s="5" t="s">
        <v>22</v>
      </c>
      <c r="F1799" s="71">
        <v>45657</v>
      </c>
      <c r="G1799" s="5">
        <v>2024</v>
      </c>
      <c r="H1799" s="5" t="s">
        <v>23</v>
      </c>
      <c r="I1799" s="6" t="s">
        <v>30</v>
      </c>
      <c r="J1799" s="5">
        <v>100</v>
      </c>
      <c r="K1799" s="10">
        <v>71.3</v>
      </c>
      <c r="L1799" s="14">
        <f t="shared" si="110"/>
        <v>0.71299999999999997</v>
      </c>
      <c r="M1799" s="14">
        <f t="shared" si="111"/>
        <v>0.71299999999999997</v>
      </c>
      <c r="N1799" s="5"/>
      <c r="O1799" s="5"/>
      <c r="P1799" s="15">
        <v>0</v>
      </c>
      <c r="Q1799" s="15">
        <v>0</v>
      </c>
      <c r="R1799" s="5" t="s">
        <v>986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45838</v>
      </c>
      <c r="G1800" s="5">
        <v>2025</v>
      </c>
      <c r="H1800" s="5" t="s">
        <v>699</v>
      </c>
      <c r="I1800" s="6" t="s">
        <v>700</v>
      </c>
      <c r="J1800" s="5">
        <v>100</v>
      </c>
      <c r="K1800" s="10">
        <v>88.89</v>
      </c>
      <c r="L1800" s="14">
        <f t="shared" si="110"/>
        <v>0.88890000000000002</v>
      </c>
      <c r="M1800" s="14">
        <f t="shared" si="111"/>
        <v>0.88890000000000002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2725</v>
      </c>
    </row>
    <row r="1801" spans="1:18" hidden="1" x14ac:dyDescent="0.3">
      <c r="A1801" s="21">
        <v>369</v>
      </c>
      <c r="B1801" s="5" t="s">
        <v>984</v>
      </c>
      <c r="C1801" s="5" t="s">
        <v>951</v>
      </c>
      <c r="D1801" s="5" t="s">
        <v>21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100</v>
      </c>
      <c r="K1801" s="10">
        <v>108.26</v>
      </c>
      <c r="L1801" s="14">
        <f t="shared" si="110"/>
        <v>1.0826</v>
      </c>
      <c r="M1801" s="14">
        <f t="shared" si="111"/>
        <v>1.0826</v>
      </c>
      <c r="N1801" s="5" t="s">
        <v>128</v>
      </c>
      <c r="O1801" s="5" t="s">
        <v>128</v>
      </c>
      <c r="P1801" s="15">
        <v>0</v>
      </c>
      <c r="Q1801" s="15">
        <v>0</v>
      </c>
      <c r="R1801" s="5" t="s">
        <v>987</v>
      </c>
    </row>
    <row r="1802" spans="1:18" hidden="1" x14ac:dyDescent="0.3">
      <c r="A1802">
        <v>370</v>
      </c>
      <c r="B1802" t="s">
        <v>988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0</v>
      </c>
      <c r="K1802">
        <v>0</v>
      </c>
      <c r="L1802" s="39" t="str">
        <f t="shared" si="110"/>
        <v/>
      </c>
      <c r="M1802" s="39" t="str">
        <f t="shared" si="111"/>
        <v/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45107</v>
      </c>
      <c r="G1803">
        <v>2023</v>
      </c>
      <c r="H1803" t="s">
        <v>699</v>
      </c>
      <c r="I1803" t="s">
        <v>1512</v>
      </c>
      <c r="J1803">
        <v>100</v>
      </c>
      <c r="K1803">
        <v>157.50274243635999</v>
      </c>
      <c r="L1803" s="39">
        <f t="shared" si="110"/>
        <v>1.3</v>
      </c>
      <c r="M1803" s="39">
        <f t="shared" si="111"/>
        <v>1.5750274243636</v>
      </c>
      <c r="N1803" t="s">
        <v>205</v>
      </c>
      <c r="O1803" t="s">
        <v>205</v>
      </c>
      <c r="P1803">
        <v>0</v>
      </c>
      <c r="Q1803">
        <v>0</v>
      </c>
      <c r="R1803" t="s">
        <v>2727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45291</v>
      </c>
      <c r="G1804">
        <v>2023</v>
      </c>
      <c r="H1804" t="s">
        <v>23</v>
      </c>
      <c r="I1804" t="s">
        <v>28</v>
      </c>
      <c r="J1804">
        <v>100</v>
      </c>
      <c r="K1804">
        <v>173.07</v>
      </c>
      <c r="L1804" s="39">
        <f t="shared" si="110"/>
        <v>1.3</v>
      </c>
      <c r="M1804" s="39">
        <f t="shared" si="111"/>
        <v>1.7306999999999999</v>
      </c>
      <c r="N1804" t="s">
        <v>205</v>
      </c>
      <c r="O1804" t="s">
        <v>205</v>
      </c>
      <c r="P1804">
        <v>0</v>
      </c>
      <c r="Q1804">
        <v>0</v>
      </c>
      <c r="R1804" t="s">
        <v>991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45473</v>
      </c>
      <c r="G1805">
        <v>2024</v>
      </c>
      <c r="H1805" t="s">
        <v>699</v>
      </c>
      <c r="I1805" t="s">
        <v>729</v>
      </c>
      <c r="J1805">
        <v>100</v>
      </c>
      <c r="K1805">
        <v>149.72</v>
      </c>
      <c r="L1805" s="39">
        <f t="shared" si="110"/>
        <v>1.3</v>
      </c>
      <c r="M1805" s="39">
        <f t="shared" si="111"/>
        <v>1.4972000000000001</v>
      </c>
      <c r="N1805" t="s">
        <v>205</v>
      </c>
      <c r="O1805" t="s">
        <v>205</v>
      </c>
      <c r="P1805">
        <v>0</v>
      </c>
      <c r="Q1805">
        <v>0</v>
      </c>
      <c r="R1805" t="s">
        <v>2728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45657</v>
      </c>
      <c r="G1806">
        <v>2024</v>
      </c>
      <c r="H1806" t="s">
        <v>23</v>
      </c>
      <c r="I1806" t="s">
        <v>30</v>
      </c>
      <c r="J1806">
        <v>100</v>
      </c>
      <c r="K1806">
        <v>96.99</v>
      </c>
      <c r="L1806" s="39">
        <f t="shared" si="110"/>
        <v>0.96989999999999998</v>
      </c>
      <c r="M1806" s="39">
        <f t="shared" si="111"/>
        <v>0.96989999999999998</v>
      </c>
      <c r="N1806" t="s">
        <v>205</v>
      </c>
      <c r="O1806" t="s">
        <v>205</v>
      </c>
      <c r="P1806">
        <v>0</v>
      </c>
      <c r="Q1806">
        <v>0</v>
      </c>
      <c r="R1806" t="s">
        <v>992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27</v>
      </c>
      <c r="E1807" t="s">
        <v>22</v>
      </c>
      <c r="F1807" s="79">
        <v>45838</v>
      </c>
      <c r="G1807">
        <v>2025</v>
      </c>
      <c r="H1807" t="s">
        <v>699</v>
      </c>
      <c r="I1807" t="s">
        <v>700</v>
      </c>
      <c r="J1807">
        <v>100</v>
      </c>
      <c r="K1807">
        <v>73.69</v>
      </c>
      <c r="L1807" s="39">
        <f t="shared" si="110"/>
        <v>0.7369</v>
      </c>
      <c r="M1807" s="39">
        <f t="shared" si="111"/>
        <v>0.7369</v>
      </c>
      <c r="N1807" t="s">
        <v>205</v>
      </c>
      <c r="O1807" t="s">
        <v>205</v>
      </c>
      <c r="P1807">
        <v>0</v>
      </c>
      <c r="Q1807">
        <v>0</v>
      </c>
      <c r="R1807" t="s">
        <v>2729</v>
      </c>
    </row>
    <row r="1808" spans="1:18" hidden="1" x14ac:dyDescent="0.3">
      <c r="A1808">
        <v>371</v>
      </c>
      <c r="B1808" t="s">
        <v>990</v>
      </c>
      <c r="C1808" t="s">
        <v>951</v>
      </c>
      <c r="D1808" t="s">
        <v>21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83.42</v>
      </c>
      <c r="L1808" s="39">
        <f t="shared" si="110"/>
        <v>0.83420000000000005</v>
      </c>
      <c r="M1808" s="39">
        <f t="shared" si="111"/>
        <v>0.83420000000000005</v>
      </c>
      <c r="N1808" t="s">
        <v>205</v>
      </c>
      <c r="O1808" t="s">
        <v>205</v>
      </c>
      <c r="P1808">
        <v>0</v>
      </c>
      <c r="Q1808">
        <v>0</v>
      </c>
      <c r="R1808" t="s">
        <v>993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45199</v>
      </c>
      <c r="G1809">
        <v>2023</v>
      </c>
      <c r="H1809" t="s">
        <v>162</v>
      </c>
      <c r="I1809" t="s">
        <v>28</v>
      </c>
      <c r="J1809">
        <v>87</v>
      </c>
      <c r="K1809">
        <v>96</v>
      </c>
      <c r="L1809" s="39">
        <f t="shared" si="110"/>
        <v>1.103448275862069</v>
      </c>
      <c r="M1809" s="39">
        <f t="shared" si="111"/>
        <v>1.103448275862069</v>
      </c>
      <c r="N1809" t="s">
        <v>25</v>
      </c>
      <c r="O1809" t="s">
        <v>25</v>
      </c>
      <c r="P1809">
        <v>0</v>
      </c>
      <c r="Q1809">
        <v>0</v>
      </c>
      <c r="R1809" t="s">
        <v>2730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87</v>
      </c>
      <c r="K1810">
        <v>95</v>
      </c>
      <c r="L1810" s="39">
        <f t="shared" si="110"/>
        <v>1.0919540229885059</v>
      </c>
      <c r="M1810" s="39">
        <f t="shared" si="111"/>
        <v>1.0919540229885059</v>
      </c>
      <c r="N1810" t="s">
        <v>25</v>
      </c>
      <c r="O1810" t="s">
        <v>25</v>
      </c>
      <c r="P1810">
        <v>0</v>
      </c>
      <c r="Q1810">
        <v>0</v>
      </c>
      <c r="R1810" t="s">
        <v>995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45382</v>
      </c>
      <c r="G1811">
        <v>2024</v>
      </c>
      <c r="H1811" t="s">
        <v>1516</v>
      </c>
      <c r="I1811" t="s">
        <v>729</v>
      </c>
      <c r="J1811">
        <v>87</v>
      </c>
      <c r="K1811">
        <v>93</v>
      </c>
      <c r="L1811" s="39">
        <f t="shared" si="110"/>
        <v>1.0689655172413792</v>
      </c>
      <c r="M1811" s="39">
        <f t="shared" si="111"/>
        <v>1.0689655172413792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45473</v>
      </c>
      <c r="G1812">
        <v>2024</v>
      </c>
      <c r="H1812" t="s">
        <v>699</v>
      </c>
      <c r="I1812" t="s">
        <v>729</v>
      </c>
      <c r="J1812">
        <v>87</v>
      </c>
      <c r="K1812">
        <v>90</v>
      </c>
      <c r="L1812" s="39">
        <f t="shared" si="110"/>
        <v>1.0344827586206897</v>
      </c>
      <c r="M1812" s="39">
        <f t="shared" si="111"/>
        <v>1.0344827586206897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45565</v>
      </c>
      <c r="G1813">
        <v>2024</v>
      </c>
      <c r="H1813" t="s">
        <v>162</v>
      </c>
      <c r="I1813" t="s">
        <v>30</v>
      </c>
      <c r="J1813">
        <v>87</v>
      </c>
      <c r="K1813">
        <v>91</v>
      </c>
      <c r="L1813" s="39">
        <f t="shared" si="110"/>
        <v>1.0459770114942528</v>
      </c>
      <c r="M1813" s="39">
        <f t="shared" si="111"/>
        <v>1.0459770114942528</v>
      </c>
      <c r="N1813" t="s">
        <v>25</v>
      </c>
      <c r="O1813" t="s">
        <v>25</v>
      </c>
      <c r="P1813">
        <v>0</v>
      </c>
      <c r="Q1813">
        <v>0</v>
      </c>
      <c r="R1813" t="s">
        <v>2733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45657</v>
      </c>
      <c r="G1814">
        <v>2024</v>
      </c>
      <c r="H1814" t="s">
        <v>23</v>
      </c>
      <c r="I1814" t="s">
        <v>30</v>
      </c>
      <c r="J1814">
        <v>87</v>
      </c>
      <c r="K1814">
        <v>93</v>
      </c>
      <c r="L1814" s="39">
        <f t="shared" si="110"/>
        <v>1.0689655172413792</v>
      </c>
      <c r="M1814" s="39">
        <f t="shared" si="111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996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45747</v>
      </c>
      <c r="G1815">
        <v>2025</v>
      </c>
      <c r="H1815" t="s">
        <v>1516</v>
      </c>
      <c r="I1815" t="s">
        <v>700</v>
      </c>
      <c r="J1815">
        <v>90</v>
      </c>
      <c r="K1815">
        <v>98</v>
      </c>
      <c r="L1815" s="39">
        <f t="shared" si="110"/>
        <v>1.0888888888888888</v>
      </c>
      <c r="M1815" s="39">
        <f t="shared" si="111"/>
        <v>1.0888888888888888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45838</v>
      </c>
      <c r="G1816">
        <v>2025</v>
      </c>
      <c r="H1816" t="s">
        <v>699</v>
      </c>
      <c r="I1816" t="s">
        <v>700</v>
      </c>
      <c r="J1816">
        <v>90</v>
      </c>
      <c r="K1816">
        <v>90</v>
      </c>
      <c r="L1816" s="39">
        <f t="shared" si="110"/>
        <v>1</v>
      </c>
      <c r="M1816" s="39">
        <f t="shared" si="111"/>
        <v>1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45930</v>
      </c>
      <c r="G1817">
        <v>2025</v>
      </c>
      <c r="H1817" t="s">
        <v>162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2736</v>
      </c>
    </row>
    <row r="1818" spans="1:18" hidden="1" x14ac:dyDescent="0.3">
      <c r="A1818">
        <v>372</v>
      </c>
      <c r="B1818" t="s">
        <v>994</v>
      </c>
      <c r="C1818" t="s">
        <v>982</v>
      </c>
      <c r="D1818" t="s">
        <v>27</v>
      </c>
      <c r="E1818" t="s">
        <v>22</v>
      </c>
      <c r="F1818" s="79">
        <v>46022</v>
      </c>
      <c r="G1818">
        <v>2025</v>
      </c>
      <c r="H1818" t="s">
        <v>23</v>
      </c>
      <c r="I1818" t="s">
        <v>32</v>
      </c>
      <c r="J1818">
        <v>90</v>
      </c>
      <c r="K1818">
        <v>97</v>
      </c>
      <c r="L1818" s="39">
        <f t="shared" si="110"/>
        <v>1.0777777777777777</v>
      </c>
      <c r="M1818" s="39">
        <f t="shared" si="111"/>
        <v>1.0777777777777777</v>
      </c>
      <c r="N1818" t="s">
        <v>25</v>
      </c>
      <c r="O1818" t="s">
        <v>25</v>
      </c>
      <c r="P1818">
        <v>0</v>
      </c>
      <c r="Q1818">
        <v>0</v>
      </c>
      <c r="R1818" t="s">
        <v>997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27</v>
      </c>
      <c r="E1819" t="s">
        <v>22</v>
      </c>
      <c r="F1819" s="79">
        <v>45016</v>
      </c>
      <c r="G1819">
        <v>2023</v>
      </c>
      <c r="H1819" t="s">
        <v>1516</v>
      </c>
      <c r="I1819" t="s">
        <v>1512</v>
      </c>
      <c r="J1819">
        <v>100</v>
      </c>
      <c r="K1819">
        <v>0</v>
      </c>
      <c r="L1819" s="39">
        <f t="shared" ref="L1819:L1830" si="112">IFERROR(IF(OR(J1819=0,K1819=""),"",IF(E1819="Positivo",MIN(MAX(K1819/J1819,0),1),MIN(MAX(J1819/K1819,0),1))),"")</f>
        <v>0</v>
      </c>
      <c r="M1819" s="39">
        <f t="shared" si="111"/>
        <v>0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45107</v>
      </c>
      <c r="G1820">
        <v>2023</v>
      </c>
      <c r="H1820" t="s">
        <v>699</v>
      </c>
      <c r="I1820" t="s">
        <v>1512</v>
      </c>
      <c r="J1820">
        <v>100</v>
      </c>
      <c r="K1820">
        <v>107.17166666667001</v>
      </c>
      <c r="L1820" s="39">
        <f t="shared" si="112"/>
        <v>1</v>
      </c>
      <c r="M1820" s="39">
        <f t="shared" si="111"/>
        <v>1.0717166666667</v>
      </c>
      <c r="N1820" t="s">
        <v>25</v>
      </c>
      <c r="O1820" t="s">
        <v>25</v>
      </c>
      <c r="P1820">
        <v>0</v>
      </c>
      <c r="Q1820">
        <v>0</v>
      </c>
      <c r="R1820" t="s">
        <v>2738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45199</v>
      </c>
      <c r="G1821">
        <v>2023</v>
      </c>
      <c r="H1821" t="s">
        <v>162</v>
      </c>
      <c r="I1821" t="s">
        <v>28</v>
      </c>
      <c r="J1821">
        <v>100</v>
      </c>
      <c r="K1821">
        <v>91.508333333332999</v>
      </c>
      <c r="L1821" s="39">
        <f t="shared" si="112"/>
        <v>0.91508333333333003</v>
      </c>
      <c r="M1821" s="39">
        <f t="shared" si="111"/>
        <v>0.91508333333333003</v>
      </c>
      <c r="N1821" t="s">
        <v>25</v>
      </c>
      <c r="O1821" t="s">
        <v>25</v>
      </c>
      <c r="P1821">
        <v>0</v>
      </c>
      <c r="Q1821">
        <v>0</v>
      </c>
      <c r="R1821" t="s">
        <v>2739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45291</v>
      </c>
      <c r="G1822">
        <v>2023</v>
      </c>
      <c r="H1822" t="s">
        <v>23</v>
      </c>
      <c r="I1822" t="s">
        <v>28</v>
      </c>
      <c r="J1822">
        <v>100</v>
      </c>
      <c r="K1822">
        <v>97.166666666666998</v>
      </c>
      <c r="L1822" s="39">
        <f t="shared" si="112"/>
        <v>0.97166666666667001</v>
      </c>
      <c r="M1822" s="39">
        <f t="shared" si="111"/>
        <v>0.97166666666667001</v>
      </c>
      <c r="N1822" t="s">
        <v>25</v>
      </c>
      <c r="O1822" t="s">
        <v>25</v>
      </c>
      <c r="P1822">
        <v>0</v>
      </c>
      <c r="Q1822">
        <v>0</v>
      </c>
      <c r="R1822" t="s">
        <v>999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45382</v>
      </c>
      <c r="G1823">
        <v>2024</v>
      </c>
      <c r="H1823" t="s">
        <v>1516</v>
      </c>
      <c r="I1823" t="s">
        <v>729</v>
      </c>
      <c r="J1823">
        <v>100</v>
      </c>
      <c r="K1823">
        <v>89.02</v>
      </c>
      <c r="L1823" s="39">
        <f t="shared" si="112"/>
        <v>0.89019999999999999</v>
      </c>
      <c r="M1823" s="39">
        <f t="shared" si="111"/>
        <v>0.89019999999999999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106.8</v>
      </c>
      <c r="L1824" s="39">
        <f t="shared" si="112"/>
        <v>1</v>
      </c>
      <c r="M1824" s="39">
        <f t="shared" si="111"/>
        <v>1.0680000000000001</v>
      </c>
      <c r="N1824" t="s">
        <v>25</v>
      </c>
      <c r="O1824" t="s">
        <v>25</v>
      </c>
      <c r="P1824">
        <v>0</v>
      </c>
      <c r="Q1824">
        <v>0</v>
      </c>
      <c r="R1824" t="s">
        <v>2741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21</v>
      </c>
      <c r="E1825" t="s">
        <v>22</v>
      </c>
      <c r="F1825" s="79">
        <v>45565</v>
      </c>
      <c r="G1825">
        <v>2024</v>
      </c>
      <c r="H1825" t="s">
        <v>162</v>
      </c>
      <c r="I1825" t="s">
        <v>30</v>
      </c>
      <c r="J1825">
        <v>100</v>
      </c>
      <c r="K1825">
        <v>99.61</v>
      </c>
      <c r="L1825" s="39">
        <f t="shared" si="112"/>
        <v>0.99609999999999999</v>
      </c>
      <c r="M1825" s="39">
        <f t="shared" si="111"/>
        <v>0.99609999999999999</v>
      </c>
      <c r="N1825" t="s">
        <v>25</v>
      </c>
      <c r="O1825" t="s">
        <v>25</v>
      </c>
      <c r="P1825">
        <v>0</v>
      </c>
      <c r="Q1825">
        <v>0</v>
      </c>
      <c r="R1825" t="s">
        <v>2742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45657</v>
      </c>
      <c r="G1826">
        <v>2024</v>
      </c>
      <c r="H1826" t="s">
        <v>23</v>
      </c>
      <c r="I1826" t="s">
        <v>30</v>
      </c>
      <c r="J1826">
        <v>100</v>
      </c>
      <c r="K1826">
        <v>98.67</v>
      </c>
      <c r="L1826" s="39">
        <f t="shared" si="112"/>
        <v>0.98670000000000002</v>
      </c>
      <c r="M1826" s="39">
        <f t="shared" si="111"/>
        <v>0.98670000000000002</v>
      </c>
      <c r="N1826" t="s">
        <v>25</v>
      </c>
      <c r="O1826" t="s">
        <v>25</v>
      </c>
      <c r="P1826">
        <v>0</v>
      </c>
      <c r="Q1826">
        <v>0</v>
      </c>
      <c r="R1826" t="s">
        <v>1000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45747</v>
      </c>
      <c r="G1827">
        <v>2025</v>
      </c>
      <c r="H1827" t="s">
        <v>1516</v>
      </c>
      <c r="I1827" t="s">
        <v>700</v>
      </c>
      <c r="J1827">
        <v>100</v>
      </c>
      <c r="K1827">
        <v>107.46</v>
      </c>
      <c r="L1827" s="39">
        <f t="shared" si="112"/>
        <v>1</v>
      </c>
      <c r="M1827" s="39">
        <f t="shared" si="111"/>
        <v>1.0746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45838</v>
      </c>
      <c r="G1828">
        <v>2025</v>
      </c>
      <c r="H1828" t="s">
        <v>699</v>
      </c>
      <c r="I1828" t="s">
        <v>700</v>
      </c>
      <c r="J1828">
        <v>100</v>
      </c>
      <c r="K1828">
        <v>101.75</v>
      </c>
      <c r="L1828" s="39">
        <f t="shared" si="112"/>
        <v>1</v>
      </c>
      <c r="M1828" s="39">
        <f t="shared" si="111"/>
        <v>1.0175000000000001</v>
      </c>
      <c r="N1828" t="s">
        <v>25</v>
      </c>
      <c r="O1828" t="s">
        <v>25</v>
      </c>
      <c r="P1828">
        <v>0</v>
      </c>
      <c r="Q1828">
        <v>0</v>
      </c>
      <c r="R1828" t="s">
        <v>2744</v>
      </c>
    </row>
    <row r="1829" spans="1:19" hidden="1" x14ac:dyDescent="0.3">
      <c r="A1829">
        <v>373</v>
      </c>
      <c r="B1829" t="s">
        <v>998</v>
      </c>
      <c r="C1829" t="s">
        <v>567</v>
      </c>
      <c r="D1829" t="s">
        <v>27</v>
      </c>
      <c r="E1829" t="s">
        <v>22</v>
      </c>
      <c r="F1829" s="79">
        <v>45930</v>
      </c>
      <c r="G1829">
        <v>2025</v>
      </c>
      <c r="H1829" t="s">
        <v>162</v>
      </c>
      <c r="I1829" t="s">
        <v>32</v>
      </c>
      <c r="J1829">
        <v>100</v>
      </c>
      <c r="K1829">
        <v>96.32</v>
      </c>
      <c r="L1829" s="39">
        <f t="shared" si="112"/>
        <v>0.96319999999999995</v>
      </c>
      <c r="M1829" s="39">
        <f t="shared" si="111"/>
        <v>0.96319999999999995</v>
      </c>
      <c r="N1829" t="s">
        <v>25</v>
      </c>
      <c r="O1829" t="s">
        <v>25</v>
      </c>
      <c r="P1829">
        <v>0</v>
      </c>
      <c r="Q1829">
        <v>0</v>
      </c>
      <c r="R1829" t="s">
        <v>2745</v>
      </c>
    </row>
    <row r="1830" spans="1:19" hidden="1" x14ac:dyDescent="0.3">
      <c r="A1830">
        <v>373</v>
      </c>
      <c r="B1830" t="s">
        <v>998</v>
      </c>
      <c r="C1830" t="s">
        <v>567</v>
      </c>
      <c r="D1830" t="s">
        <v>27</v>
      </c>
      <c r="E1830" t="s">
        <v>22</v>
      </c>
      <c r="F1830" s="79">
        <v>46022</v>
      </c>
      <c r="G1830">
        <v>2025</v>
      </c>
      <c r="H1830" t="s">
        <v>23</v>
      </c>
      <c r="I1830" t="s">
        <v>32</v>
      </c>
      <c r="J1830">
        <v>100</v>
      </c>
      <c r="K1830">
        <v>99.33</v>
      </c>
      <c r="L1830" s="39">
        <f t="shared" si="112"/>
        <v>0.99329999999999996</v>
      </c>
      <c r="M1830" s="39">
        <f t="shared" si="111"/>
        <v>0.99329999999999996</v>
      </c>
      <c r="N1830" t="s">
        <v>25</v>
      </c>
      <c r="O1830" t="s">
        <v>25</v>
      </c>
      <c r="P1830">
        <v>0</v>
      </c>
      <c r="Q1830">
        <v>0</v>
      </c>
      <c r="R1830" t="s">
        <v>1001</v>
      </c>
    </row>
    <row r="1831" spans="1:19" hidden="1" x14ac:dyDescent="0.3">
      <c r="A1831">
        <v>374</v>
      </c>
      <c r="B1831" t="s">
        <v>1002</v>
      </c>
      <c r="C1831" t="s">
        <v>956</v>
      </c>
      <c r="D1831" t="s">
        <v>27</v>
      </c>
      <c r="E1831" t="s">
        <v>22</v>
      </c>
      <c r="F1831" s="79">
        <v>45291</v>
      </c>
      <c r="G1831">
        <v>2023</v>
      </c>
      <c r="H1831" t="s">
        <v>23</v>
      </c>
      <c r="I1831" t="s">
        <v>28</v>
      </c>
      <c r="J1831">
        <v>100</v>
      </c>
      <c r="K1831">
        <v>100</v>
      </c>
      <c r="L1831" s="39">
        <f>IFERROR(IF(OR(J1831=0,K1831=""),"",IF(E1831="Positivo",MIN(MAX(K1831/J1831,0),1.3),MIN(MAX(J1831/K1831,0),1.3))),"")</f>
        <v>1</v>
      </c>
      <c r="M1831" s="39">
        <f t="shared" si="111"/>
        <v>1</v>
      </c>
      <c r="N1831" t="s">
        <v>25</v>
      </c>
      <c r="O1831" t="s">
        <v>25</v>
      </c>
      <c r="P1831">
        <v>0</v>
      </c>
      <c r="Q1831">
        <v>0</v>
      </c>
      <c r="R1831" t="s">
        <v>1003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21</v>
      </c>
      <c r="E1832" t="s">
        <v>22</v>
      </c>
      <c r="F1832" s="79">
        <v>45016</v>
      </c>
      <c r="G1832">
        <v>2023</v>
      </c>
      <c r="H1832" t="s">
        <v>1516</v>
      </c>
      <c r="I1832" t="s">
        <v>1512</v>
      </c>
      <c r="J1832">
        <v>100</v>
      </c>
      <c r="L1832" s="39"/>
      <c r="M1832" s="39"/>
      <c r="N1832" t="s">
        <v>25</v>
      </c>
      <c r="O1832" t="s">
        <v>302</v>
      </c>
      <c r="P1832">
        <v>0</v>
      </c>
      <c r="Q1832">
        <v>0</v>
      </c>
      <c r="R1832" t="s">
        <v>2746</v>
      </c>
      <c r="S1832" t="s">
        <v>302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21</v>
      </c>
      <c r="E1833" t="s">
        <v>22</v>
      </c>
      <c r="F1833" s="79">
        <v>45107</v>
      </c>
      <c r="G1833">
        <v>2023</v>
      </c>
      <c r="H1833" t="s">
        <v>699</v>
      </c>
      <c r="I1833" t="s">
        <v>1512</v>
      </c>
      <c r="J1833">
        <v>100</v>
      </c>
      <c r="K1833">
        <v>0</v>
      </c>
      <c r="L1833" s="39">
        <f t="shared" ref="L1833:L1864" si="113">IFERROR(IF(OR(J1833=0,K1833=""),"",IF(E1833="Positivo",MIN(MAX(K1833/J1833,0),1.3),MIN(MAX(J1833/K1833,0),1.3))),"")</f>
        <v>0</v>
      </c>
      <c r="M1833" s="39">
        <f t="shared" ref="M1833:M1864" si="114">IFERROR(IF(OR(J1833=0,K1833=""),"",IF(E1833="Positivo",MAX(K1833/J1833,0),MAX(J1833/K1833,0))),"")</f>
        <v>0</v>
      </c>
      <c r="N1833" t="s">
        <v>25</v>
      </c>
      <c r="O1833" t="s">
        <v>25</v>
      </c>
      <c r="P1833">
        <v>0</v>
      </c>
      <c r="Q1833">
        <v>0</v>
      </c>
      <c r="R1833" t="s">
        <v>2747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1005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45473</v>
      </c>
      <c r="G1835">
        <v>2024</v>
      </c>
      <c r="H1835" t="s">
        <v>699</v>
      </c>
      <c r="I1835" t="s">
        <v>729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2748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27</v>
      </c>
      <c r="E1836" t="s">
        <v>22</v>
      </c>
      <c r="F1836" s="79">
        <v>45657</v>
      </c>
      <c r="G1836">
        <v>2024</v>
      </c>
      <c r="H1836" t="s">
        <v>23</v>
      </c>
      <c r="I1836" t="s">
        <v>30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1006</v>
      </c>
    </row>
    <row r="1837" spans="1:19" hidden="1" x14ac:dyDescent="0.3">
      <c r="A1837">
        <v>375</v>
      </c>
      <c r="B1837" t="s">
        <v>1004</v>
      </c>
      <c r="C1837" t="s">
        <v>956</v>
      </c>
      <c r="D1837" t="s">
        <v>27</v>
      </c>
      <c r="E1837" t="s">
        <v>22</v>
      </c>
      <c r="F1837" s="79">
        <v>45838</v>
      </c>
      <c r="G1837">
        <v>2025</v>
      </c>
      <c r="H1837" t="s">
        <v>699</v>
      </c>
      <c r="I1837" t="s">
        <v>700</v>
      </c>
      <c r="J1837">
        <v>100</v>
      </c>
      <c r="K1837">
        <v>100</v>
      </c>
      <c r="L1837" s="39">
        <f t="shared" si="113"/>
        <v>1</v>
      </c>
      <c r="M1837" s="39">
        <f t="shared" si="114"/>
        <v>1</v>
      </c>
      <c r="N1837" t="s">
        <v>25</v>
      </c>
      <c r="O1837" t="s">
        <v>25</v>
      </c>
      <c r="P1837">
        <v>0</v>
      </c>
      <c r="Q1837">
        <v>0</v>
      </c>
      <c r="R1837" t="s">
        <v>2749</v>
      </c>
    </row>
    <row r="1838" spans="1:19" hidden="1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46022</v>
      </c>
      <c r="G1838">
        <v>2025</v>
      </c>
      <c r="H1838" t="s">
        <v>23</v>
      </c>
      <c r="I1838" t="s">
        <v>32</v>
      </c>
      <c r="J1838">
        <v>100</v>
      </c>
      <c r="K1838">
        <v>100</v>
      </c>
      <c r="L1838" s="39">
        <f t="shared" si="113"/>
        <v>1</v>
      </c>
      <c r="M1838" s="39">
        <f t="shared" si="114"/>
        <v>1</v>
      </c>
      <c r="N1838" t="s">
        <v>25</v>
      </c>
      <c r="O1838" t="s">
        <v>25</v>
      </c>
      <c r="P1838">
        <v>0</v>
      </c>
      <c r="Q1838">
        <v>0</v>
      </c>
      <c r="R1838" t="s">
        <v>1007</v>
      </c>
    </row>
    <row r="1839" spans="1:19" hidden="1" x14ac:dyDescent="0.3">
      <c r="A1839">
        <v>376</v>
      </c>
      <c r="B1839" t="s">
        <v>2750</v>
      </c>
      <c r="C1839" t="s">
        <v>159</v>
      </c>
      <c r="D1839" t="s">
        <v>27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95</v>
      </c>
      <c r="K1839">
        <v>149.72237633949999</v>
      </c>
      <c r="L1839" s="39">
        <f t="shared" si="113"/>
        <v>1.3</v>
      </c>
      <c r="M1839" s="39">
        <f t="shared" si="114"/>
        <v>1.5760250140999998</v>
      </c>
      <c r="N1839" t="s">
        <v>205</v>
      </c>
      <c r="O1839" t="s">
        <v>205</v>
      </c>
      <c r="P1839">
        <v>0</v>
      </c>
      <c r="Q1839">
        <v>0</v>
      </c>
      <c r="R1839" t="s">
        <v>2751</v>
      </c>
    </row>
    <row r="1840" spans="1:19" hidden="1" x14ac:dyDescent="0.3">
      <c r="A1840">
        <v>376</v>
      </c>
      <c r="B1840" t="s">
        <v>2750</v>
      </c>
      <c r="C1840" t="s">
        <v>159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95</v>
      </c>
      <c r="K1840">
        <v>101.26</v>
      </c>
      <c r="L1840" s="39">
        <f t="shared" si="113"/>
        <v>1.0658947368421052</v>
      </c>
      <c r="M1840" s="39">
        <f t="shared" si="114"/>
        <v>1.0658947368421052</v>
      </c>
      <c r="N1840" t="s">
        <v>205</v>
      </c>
      <c r="O1840" t="s">
        <v>205</v>
      </c>
      <c r="P1840">
        <v>0</v>
      </c>
      <c r="Q1840">
        <v>0</v>
      </c>
      <c r="R1840" t="s">
        <v>1009</v>
      </c>
    </row>
    <row r="1841" spans="1:18" hidden="1" x14ac:dyDescent="0.3">
      <c r="A1841">
        <v>376</v>
      </c>
      <c r="B1841" t="s">
        <v>2750</v>
      </c>
      <c r="C1841" t="s">
        <v>159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95</v>
      </c>
      <c r="K1841">
        <v>104</v>
      </c>
      <c r="L1841" s="39">
        <f t="shared" si="113"/>
        <v>1.0947368421052632</v>
      </c>
      <c r="M1841" s="39">
        <f t="shared" si="114"/>
        <v>1.0947368421052632</v>
      </c>
      <c r="N1841" t="s">
        <v>205</v>
      </c>
      <c r="O1841" t="s">
        <v>205</v>
      </c>
      <c r="P1841">
        <v>0</v>
      </c>
      <c r="Q1841">
        <v>0</v>
      </c>
      <c r="R1841" t="s">
        <v>2752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95</v>
      </c>
      <c r="K1842">
        <v>109.1</v>
      </c>
      <c r="L1842" s="39">
        <f t="shared" si="113"/>
        <v>1.1484210526315788</v>
      </c>
      <c r="M1842" s="39">
        <f t="shared" si="114"/>
        <v>1.1484210526315788</v>
      </c>
      <c r="N1842" t="s">
        <v>205</v>
      </c>
      <c r="O1842" t="s">
        <v>205</v>
      </c>
      <c r="P1842">
        <v>0</v>
      </c>
      <c r="Q1842">
        <v>0</v>
      </c>
      <c r="R1842" t="s">
        <v>1010</v>
      </c>
    </row>
    <row r="1843" spans="1:18" hidden="1" x14ac:dyDescent="0.3">
      <c r="A1843">
        <v>376</v>
      </c>
      <c r="B1843" t="s">
        <v>1008</v>
      </c>
      <c r="C1843" t="s">
        <v>159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95</v>
      </c>
      <c r="K1843">
        <v>117.87</v>
      </c>
      <c r="L1843" s="39">
        <f t="shared" si="113"/>
        <v>1.2407368421052631</v>
      </c>
      <c r="M1843" s="39">
        <f t="shared" si="114"/>
        <v>1.2407368421052631</v>
      </c>
      <c r="N1843" t="s">
        <v>205</v>
      </c>
      <c r="O1843" t="s">
        <v>205</v>
      </c>
      <c r="P1843">
        <v>0</v>
      </c>
      <c r="Q1843">
        <v>0</v>
      </c>
      <c r="R1843" t="s">
        <v>2753</v>
      </c>
    </row>
    <row r="1844" spans="1:18" hidden="1" x14ac:dyDescent="0.3">
      <c r="A1844">
        <v>376</v>
      </c>
      <c r="B1844" t="s">
        <v>1008</v>
      </c>
      <c r="C1844" t="s">
        <v>159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95</v>
      </c>
      <c r="K1844">
        <v>117.51</v>
      </c>
      <c r="L1844" s="39">
        <f t="shared" si="113"/>
        <v>1.2369473684210528</v>
      </c>
      <c r="M1844" s="39">
        <f t="shared" si="114"/>
        <v>1.2369473684210528</v>
      </c>
      <c r="N1844" t="s">
        <v>205</v>
      </c>
      <c r="O1844" t="s">
        <v>205</v>
      </c>
      <c r="P1844">
        <v>0</v>
      </c>
      <c r="Q1844">
        <v>0</v>
      </c>
      <c r="R1844" t="s">
        <v>1011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45107</v>
      </c>
      <c r="G1845">
        <v>2023</v>
      </c>
      <c r="H1845" t="s">
        <v>699</v>
      </c>
      <c r="I1845" t="s">
        <v>1512</v>
      </c>
      <c r="J1845">
        <v>100</v>
      </c>
      <c r="K1845">
        <v>22.314798348501999</v>
      </c>
      <c r="L1845" s="39">
        <f t="shared" si="113"/>
        <v>1.3</v>
      </c>
      <c r="M1845" s="39">
        <f t="shared" si="114"/>
        <v>4.4813311076464668</v>
      </c>
      <c r="N1845" t="s">
        <v>205</v>
      </c>
      <c r="O1845" t="s">
        <v>205</v>
      </c>
      <c r="P1845">
        <v>0</v>
      </c>
      <c r="Q1845">
        <v>0</v>
      </c>
      <c r="R1845" t="s">
        <v>2754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45291</v>
      </c>
      <c r="G1846">
        <v>2023</v>
      </c>
      <c r="H1846" t="s">
        <v>23</v>
      </c>
      <c r="I1846" t="s">
        <v>28</v>
      </c>
      <c r="J1846">
        <v>100</v>
      </c>
      <c r="K1846">
        <v>60.77</v>
      </c>
      <c r="L1846" s="39">
        <f t="shared" si="113"/>
        <v>1.3</v>
      </c>
      <c r="M1846" s="39">
        <f t="shared" si="114"/>
        <v>1.6455487905216388</v>
      </c>
      <c r="N1846" t="s">
        <v>205</v>
      </c>
      <c r="O1846" t="s">
        <v>205</v>
      </c>
      <c r="P1846">
        <v>0</v>
      </c>
      <c r="Q1846">
        <v>0</v>
      </c>
      <c r="R1846" t="s">
        <v>1013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27</v>
      </c>
      <c r="E1847" t="s">
        <v>41</v>
      </c>
      <c r="F1847" s="79">
        <v>45473</v>
      </c>
      <c r="G1847">
        <v>2024</v>
      </c>
      <c r="H1847" t="s">
        <v>699</v>
      </c>
      <c r="I1847" t="s">
        <v>729</v>
      </c>
      <c r="J1847">
        <v>100</v>
      </c>
      <c r="K1847">
        <v>48.24</v>
      </c>
      <c r="L1847" s="39">
        <f t="shared" si="113"/>
        <v>1.3</v>
      </c>
      <c r="M1847" s="39">
        <f t="shared" si="114"/>
        <v>2.0729684908789388</v>
      </c>
      <c r="N1847" t="s">
        <v>205</v>
      </c>
      <c r="O1847" t="s">
        <v>205</v>
      </c>
      <c r="P1847">
        <v>0</v>
      </c>
      <c r="Q1847">
        <v>0</v>
      </c>
      <c r="R1847" t="s">
        <v>2755</v>
      </c>
    </row>
    <row r="1848" spans="1:18" hidden="1" x14ac:dyDescent="0.3">
      <c r="A1848">
        <v>377</v>
      </c>
      <c r="B1848" t="s">
        <v>1012</v>
      </c>
      <c r="C1848" t="s">
        <v>159</v>
      </c>
      <c r="D1848" t="s">
        <v>27</v>
      </c>
      <c r="E1848" t="s">
        <v>41</v>
      </c>
      <c r="F1848" s="79">
        <v>45657</v>
      </c>
      <c r="G1848">
        <v>2024</v>
      </c>
      <c r="H1848" t="s">
        <v>23</v>
      </c>
      <c r="I1848" t="s">
        <v>30</v>
      </c>
      <c r="J1848">
        <v>100</v>
      </c>
      <c r="K1848">
        <v>125.01</v>
      </c>
      <c r="L1848" s="39">
        <f t="shared" si="113"/>
        <v>0.7999360051195904</v>
      </c>
      <c r="M1848" s="39">
        <f t="shared" si="114"/>
        <v>0.7999360051195904</v>
      </c>
      <c r="N1848" t="s">
        <v>205</v>
      </c>
      <c r="O1848" t="s">
        <v>205</v>
      </c>
      <c r="P1848">
        <v>0</v>
      </c>
      <c r="Q1848">
        <v>0</v>
      </c>
      <c r="R1848" t="s">
        <v>1014</v>
      </c>
    </row>
    <row r="1849" spans="1:18" hidden="1" x14ac:dyDescent="0.3">
      <c r="A1849">
        <v>377</v>
      </c>
      <c r="B1849" t="s">
        <v>1012</v>
      </c>
      <c r="C1849" t="s">
        <v>159</v>
      </c>
      <c r="D1849" t="s">
        <v>71</v>
      </c>
      <c r="E1849" t="s">
        <v>22</v>
      </c>
      <c r="F1849" s="79">
        <v>46022</v>
      </c>
      <c r="G1849">
        <v>2025</v>
      </c>
      <c r="H1849" t="s">
        <v>23</v>
      </c>
      <c r="I1849" t="s">
        <v>32</v>
      </c>
      <c r="J1849">
        <v>100</v>
      </c>
      <c r="K1849">
        <v>107.11</v>
      </c>
      <c r="L1849" s="39">
        <f t="shared" si="113"/>
        <v>1.0710999999999999</v>
      </c>
      <c r="M1849" s="39">
        <f t="shared" si="114"/>
        <v>1.0710999999999999</v>
      </c>
      <c r="N1849" t="s">
        <v>205</v>
      </c>
      <c r="O1849" t="s">
        <v>205</v>
      </c>
      <c r="P1849">
        <v>0</v>
      </c>
      <c r="Q1849">
        <v>0</v>
      </c>
      <c r="R1849" t="s">
        <v>1015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44957</v>
      </c>
      <c r="G1850">
        <v>2023</v>
      </c>
      <c r="H1850" t="s">
        <v>59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44985</v>
      </c>
      <c r="G1851">
        <v>2023</v>
      </c>
      <c r="H1851" t="s">
        <v>210</v>
      </c>
      <c r="I1851" t="s">
        <v>1512</v>
      </c>
      <c r="J1851">
        <v>92</v>
      </c>
      <c r="K1851">
        <v>100</v>
      </c>
      <c r="L1851" s="39">
        <f t="shared" si="113"/>
        <v>1.0869565217391304</v>
      </c>
      <c r="M1851" s="39">
        <f t="shared" si="114"/>
        <v>1.0869565217391304</v>
      </c>
      <c r="N1851" t="s">
        <v>25</v>
      </c>
      <c r="O1851" t="s">
        <v>25</v>
      </c>
      <c r="P1851">
        <v>0</v>
      </c>
      <c r="Q1851">
        <v>0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45016</v>
      </c>
      <c r="G1852">
        <v>2023</v>
      </c>
      <c r="H1852" t="s">
        <v>1516</v>
      </c>
      <c r="I1852" t="s">
        <v>1512</v>
      </c>
      <c r="J1852">
        <v>92</v>
      </c>
      <c r="K1852">
        <v>100</v>
      </c>
      <c r="L1852" s="39">
        <f t="shared" si="113"/>
        <v>1.0869565217391304</v>
      </c>
      <c r="M1852" s="39">
        <f t="shared" si="114"/>
        <v>1.0869565217391304</v>
      </c>
      <c r="N1852" t="s">
        <v>25</v>
      </c>
      <c r="O1852" t="s">
        <v>25</v>
      </c>
      <c r="P1852">
        <v>0</v>
      </c>
      <c r="Q1852">
        <v>0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45046</v>
      </c>
      <c r="G1853">
        <v>2023</v>
      </c>
      <c r="H1853" t="s">
        <v>1540</v>
      </c>
      <c r="I1853" t="s">
        <v>1512</v>
      </c>
      <c r="J1853">
        <v>92</v>
      </c>
      <c r="K1853">
        <v>90.5</v>
      </c>
      <c r="L1853" s="39">
        <f t="shared" si="113"/>
        <v>0.98369565217391308</v>
      </c>
      <c r="M1853" s="39">
        <f t="shared" si="114"/>
        <v>0.98369565217391308</v>
      </c>
      <c r="N1853" t="s">
        <v>25</v>
      </c>
      <c r="O1853" t="s">
        <v>25</v>
      </c>
      <c r="P1853">
        <v>1</v>
      </c>
      <c r="Q1853">
        <v>1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45077</v>
      </c>
      <c r="G1854">
        <v>2023</v>
      </c>
      <c r="H1854" t="s">
        <v>1542</v>
      </c>
      <c r="I1854" t="s">
        <v>1512</v>
      </c>
      <c r="J1854">
        <v>92</v>
      </c>
      <c r="K1854">
        <v>83.5</v>
      </c>
      <c r="L1854" s="39">
        <f t="shared" si="113"/>
        <v>0.90760869565217395</v>
      </c>
      <c r="M1854" s="39">
        <f t="shared" si="114"/>
        <v>0.90760869565217395</v>
      </c>
      <c r="N1854" t="s">
        <v>25</v>
      </c>
      <c r="O1854" t="s">
        <v>25</v>
      </c>
      <c r="P1854">
        <v>1</v>
      </c>
      <c r="Q1854">
        <v>1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45107</v>
      </c>
      <c r="G1855">
        <v>2023</v>
      </c>
      <c r="H1855" t="s">
        <v>699</v>
      </c>
      <c r="I1855" t="s">
        <v>1512</v>
      </c>
      <c r="J1855">
        <v>92</v>
      </c>
      <c r="K1855">
        <v>89</v>
      </c>
      <c r="L1855" s="39">
        <f t="shared" si="113"/>
        <v>0.96739130434782605</v>
      </c>
      <c r="M1855" s="39">
        <f t="shared" si="114"/>
        <v>0.96739130434782605</v>
      </c>
      <c r="N1855" t="s">
        <v>25</v>
      </c>
      <c r="O1855" t="s">
        <v>25</v>
      </c>
      <c r="P1855">
        <v>0</v>
      </c>
      <c r="Q1855">
        <v>0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45138</v>
      </c>
      <c r="G1856">
        <v>2023</v>
      </c>
      <c r="H1856" t="s">
        <v>260</v>
      </c>
      <c r="I1856" t="s">
        <v>28</v>
      </c>
      <c r="J1856">
        <v>92</v>
      </c>
      <c r="K1856">
        <v>94</v>
      </c>
      <c r="L1856" s="39">
        <f t="shared" si="113"/>
        <v>1.0217391304347827</v>
      </c>
      <c r="M1856" s="39">
        <f t="shared" si="114"/>
        <v>1.0217391304347827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45169</v>
      </c>
      <c r="G1857">
        <v>2023</v>
      </c>
      <c r="H1857" t="s">
        <v>1546</v>
      </c>
      <c r="I1857" t="s">
        <v>28</v>
      </c>
      <c r="J1857">
        <v>92</v>
      </c>
      <c r="K1857">
        <v>97.5</v>
      </c>
      <c r="L1857" s="39">
        <f t="shared" si="113"/>
        <v>1.0597826086956521</v>
      </c>
      <c r="M1857" s="39">
        <f t="shared" si="114"/>
        <v>1.0597826086956521</v>
      </c>
      <c r="N1857" t="s">
        <v>25</v>
      </c>
      <c r="O1857" t="s">
        <v>25</v>
      </c>
      <c r="P1857">
        <v>1</v>
      </c>
      <c r="Q1857">
        <v>1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45199</v>
      </c>
      <c r="G1858">
        <v>2023</v>
      </c>
      <c r="H1858" t="s">
        <v>162</v>
      </c>
      <c r="I1858" t="s">
        <v>28</v>
      </c>
      <c r="J1858">
        <v>92</v>
      </c>
      <c r="K1858">
        <v>99</v>
      </c>
      <c r="L1858" s="39">
        <f t="shared" si="113"/>
        <v>1.076086956521739</v>
      </c>
      <c r="M1858" s="39">
        <f t="shared" si="114"/>
        <v>1.076086956521739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45230</v>
      </c>
      <c r="G1859">
        <v>2023</v>
      </c>
      <c r="H1859" t="s">
        <v>150</v>
      </c>
      <c r="I1859" t="s">
        <v>28</v>
      </c>
      <c r="J1859">
        <v>92</v>
      </c>
      <c r="K1859">
        <v>96</v>
      </c>
      <c r="L1859" s="39">
        <f t="shared" si="113"/>
        <v>1.0434782608695652</v>
      </c>
      <c r="M1859" s="39">
        <f t="shared" si="114"/>
        <v>1.0434782608695652</v>
      </c>
      <c r="N1859" t="s">
        <v>25</v>
      </c>
      <c r="O1859" t="s">
        <v>25</v>
      </c>
      <c r="P1859">
        <v>0</v>
      </c>
      <c r="Q1859">
        <v>0</v>
      </c>
      <c r="R1859" t="s">
        <v>2765</v>
      </c>
    </row>
    <row r="1860" spans="1:18" hidden="1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45260</v>
      </c>
      <c r="G1860">
        <v>2023</v>
      </c>
      <c r="H1860" t="s">
        <v>1550</v>
      </c>
      <c r="I1860" t="s">
        <v>28</v>
      </c>
      <c r="J1860">
        <v>92</v>
      </c>
      <c r="K1860">
        <v>96.91</v>
      </c>
      <c r="L1860" s="39">
        <f t="shared" si="113"/>
        <v>1.0533695652173913</v>
      </c>
      <c r="M1860" s="39">
        <f t="shared" si="114"/>
        <v>1.0533695652173913</v>
      </c>
      <c r="N1860" t="s">
        <v>25</v>
      </c>
      <c r="O1860" t="s">
        <v>25</v>
      </c>
      <c r="P1860">
        <v>0</v>
      </c>
      <c r="Q1860">
        <v>0</v>
      </c>
      <c r="R1860" t="s">
        <v>2766</v>
      </c>
    </row>
    <row r="1861" spans="1:18" hidden="1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45291</v>
      </c>
      <c r="G1861">
        <v>2023</v>
      </c>
      <c r="H1861" t="s">
        <v>23</v>
      </c>
      <c r="I1861" t="s">
        <v>28</v>
      </c>
      <c r="J1861">
        <v>92</v>
      </c>
      <c r="K1861">
        <v>100.52</v>
      </c>
      <c r="L1861" s="39">
        <f t="shared" si="113"/>
        <v>1.0926086956521739</v>
      </c>
      <c r="M1861" s="39">
        <f t="shared" si="114"/>
        <v>1.0926086956521739</v>
      </c>
      <c r="N1861" t="s">
        <v>25</v>
      </c>
      <c r="O1861" t="s">
        <v>25</v>
      </c>
      <c r="P1861">
        <v>0</v>
      </c>
      <c r="Q1861">
        <v>0</v>
      </c>
      <c r="R1861" t="s">
        <v>1017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45322</v>
      </c>
      <c r="G1862">
        <v>2024</v>
      </c>
      <c r="H1862" t="s">
        <v>59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45351</v>
      </c>
      <c r="G1863">
        <v>2024</v>
      </c>
      <c r="H1863" t="s">
        <v>210</v>
      </c>
      <c r="I1863" t="s">
        <v>729</v>
      </c>
      <c r="J1863">
        <v>92</v>
      </c>
      <c r="K1863">
        <v>0</v>
      </c>
      <c r="L1863" s="39">
        <f t="shared" si="113"/>
        <v>0</v>
      </c>
      <c r="M1863" s="39">
        <f t="shared" si="114"/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45382</v>
      </c>
      <c r="G1864">
        <v>2024</v>
      </c>
      <c r="H1864" t="s">
        <v>1516</v>
      </c>
      <c r="I1864" t="s">
        <v>729</v>
      </c>
      <c r="J1864">
        <v>92</v>
      </c>
      <c r="K1864">
        <v>0</v>
      </c>
      <c r="L1864" s="39">
        <f t="shared" si="113"/>
        <v>0</v>
      </c>
      <c r="M1864" s="39">
        <f t="shared" si="114"/>
        <v>0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45412</v>
      </c>
      <c r="G1865">
        <v>2024</v>
      </c>
      <c r="H1865" t="s">
        <v>1540</v>
      </c>
      <c r="I1865" t="s">
        <v>729</v>
      </c>
      <c r="J1865">
        <v>92</v>
      </c>
      <c r="K1865">
        <v>0</v>
      </c>
      <c r="L1865" s="39">
        <f t="shared" ref="L1865:L1890" si="115">IFERROR(IF(OR(J1865=0,K1865=""),"",IF(E1865="Positivo",MIN(MAX(K1865/J1865,0),1.3),MIN(MAX(J1865/K1865,0),1.3))),"")</f>
        <v>0</v>
      </c>
      <c r="M1865" s="39">
        <f t="shared" ref="M1865:M1890" si="116">IFERROR(IF(OR(J1865=0,K1865=""),"",IF(E1865="Positivo",MAX(K1865/J1865,0),MAX(J1865/K1865,0))),"")</f>
        <v>0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45443</v>
      </c>
      <c r="G1866">
        <v>2024</v>
      </c>
      <c r="H1866" t="s">
        <v>1542</v>
      </c>
      <c r="I1866" t="s">
        <v>729</v>
      </c>
      <c r="J1866">
        <v>92</v>
      </c>
      <c r="K1866">
        <v>98.5</v>
      </c>
      <c r="L1866" s="39">
        <f t="shared" si="115"/>
        <v>1.0706521739130435</v>
      </c>
      <c r="M1866" s="39">
        <f t="shared" si="116"/>
        <v>1.0706521739130435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92</v>
      </c>
      <c r="K1867">
        <v>98.5</v>
      </c>
      <c r="L1867" s="39">
        <f t="shared" si="115"/>
        <v>1.0706521739130435</v>
      </c>
      <c r="M1867" s="39">
        <f t="shared" si="116"/>
        <v>1.0706521739130435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45504</v>
      </c>
      <c r="G1868">
        <v>2024</v>
      </c>
      <c r="H1868" t="s">
        <v>260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45535</v>
      </c>
      <c r="G1869">
        <v>2024</v>
      </c>
      <c r="H1869" t="s">
        <v>1546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45565</v>
      </c>
      <c r="G1870">
        <v>2024</v>
      </c>
      <c r="H1870" t="s">
        <v>162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45596</v>
      </c>
      <c r="G1871">
        <v>2024</v>
      </c>
      <c r="H1871" t="s">
        <v>150</v>
      </c>
      <c r="I1871" t="s">
        <v>30</v>
      </c>
      <c r="J1871">
        <v>92</v>
      </c>
      <c r="K1871">
        <v>0</v>
      </c>
      <c r="L1871" s="39">
        <f t="shared" si="115"/>
        <v>0</v>
      </c>
      <c r="M1871" s="39">
        <f t="shared" si="116"/>
        <v>0</v>
      </c>
      <c r="N1871" t="s">
        <v>25</v>
      </c>
      <c r="O1871" t="s">
        <v>25</v>
      </c>
      <c r="P1871">
        <v>0</v>
      </c>
      <c r="Q1871">
        <v>0</v>
      </c>
      <c r="R1871" t="s">
        <v>2776</v>
      </c>
    </row>
    <row r="1872" spans="1:18" hidden="1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45626</v>
      </c>
      <c r="G1872">
        <v>2024</v>
      </c>
      <c r="H1872" t="s">
        <v>1550</v>
      </c>
      <c r="I1872" t="s">
        <v>30</v>
      </c>
      <c r="J1872">
        <v>92</v>
      </c>
      <c r="K1872">
        <v>0</v>
      </c>
      <c r="L1872" s="39">
        <f t="shared" si="115"/>
        <v>0</v>
      </c>
      <c r="M1872" s="39">
        <f t="shared" si="116"/>
        <v>0</v>
      </c>
      <c r="N1872" t="s">
        <v>25</v>
      </c>
      <c r="O1872" t="s">
        <v>25</v>
      </c>
      <c r="P1872">
        <v>0</v>
      </c>
      <c r="Q1872">
        <v>0</v>
      </c>
      <c r="R1872" t="s">
        <v>2777</v>
      </c>
    </row>
    <row r="1873" spans="1:18" hidden="1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45657</v>
      </c>
      <c r="G1873">
        <v>2024</v>
      </c>
      <c r="H1873" t="s">
        <v>23</v>
      </c>
      <c r="I1873" t="s">
        <v>30</v>
      </c>
      <c r="J1873">
        <v>0</v>
      </c>
      <c r="K1873">
        <v>0</v>
      </c>
      <c r="L1873" s="39" t="str">
        <f t="shared" si="115"/>
        <v/>
      </c>
      <c r="M1873" s="39" t="str">
        <f t="shared" si="116"/>
        <v/>
      </c>
      <c r="N1873" t="s">
        <v>25</v>
      </c>
      <c r="O1873" t="s">
        <v>25</v>
      </c>
      <c r="P1873">
        <v>0</v>
      </c>
      <c r="Q1873">
        <v>0</v>
      </c>
      <c r="R1873" t="s">
        <v>1018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45107</v>
      </c>
      <c r="G1874">
        <v>2023</v>
      </c>
      <c r="H1874" t="s">
        <v>699</v>
      </c>
      <c r="I1874" t="s">
        <v>1512</v>
      </c>
      <c r="J1874">
        <f>24659314309/1000000</f>
        <v>24659.314309000001</v>
      </c>
      <c r="K1874">
        <f>25754085546/1000000</f>
        <v>25754.085545999998</v>
      </c>
      <c r="L1874" s="39">
        <f t="shared" si="115"/>
        <v>1.0443958507232471</v>
      </c>
      <c r="M1874" s="39">
        <f t="shared" si="116"/>
        <v>1.0443958507232471</v>
      </c>
      <c r="N1874" t="s">
        <v>205</v>
      </c>
      <c r="O1874" t="s">
        <v>205</v>
      </c>
      <c r="P1874">
        <v>0</v>
      </c>
      <c r="Q1874">
        <v>0</v>
      </c>
      <c r="R1874" t="s">
        <v>2781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45291</v>
      </c>
      <c r="G1875">
        <v>2023</v>
      </c>
      <c r="H1875" t="s">
        <v>23</v>
      </c>
      <c r="I1875" t="s">
        <v>28</v>
      </c>
      <c r="J1875">
        <f>24724802794/1000000</f>
        <v>24724.802793999999</v>
      </c>
      <c r="K1875">
        <f>25340546506/1000000</f>
        <v>25340.546505999999</v>
      </c>
      <c r="L1875" s="39">
        <f t="shared" si="115"/>
        <v>1.0249038876924601</v>
      </c>
      <c r="M1875" s="39">
        <f t="shared" si="116"/>
        <v>1.0249038876924601</v>
      </c>
      <c r="N1875" t="s">
        <v>205</v>
      </c>
      <c r="O1875" t="s">
        <v>205</v>
      </c>
      <c r="P1875">
        <v>0</v>
      </c>
      <c r="Q1875">
        <v>0</v>
      </c>
      <c r="R1875" t="s">
        <v>1025</v>
      </c>
    </row>
    <row r="1876" spans="1:18" hidden="1" x14ac:dyDescent="0.3">
      <c r="A1876">
        <v>380</v>
      </c>
      <c r="B1876" t="s">
        <v>1024</v>
      </c>
      <c r="C1876" t="s">
        <v>1020</v>
      </c>
      <c r="D1876" t="s">
        <v>27</v>
      </c>
      <c r="E1876" t="s">
        <v>22</v>
      </c>
      <c r="F1876" s="79">
        <v>45473</v>
      </c>
      <c r="G1876">
        <v>2024</v>
      </c>
      <c r="H1876" t="s">
        <v>699</v>
      </c>
      <c r="I1876" t="s">
        <v>729</v>
      </c>
      <c r="J1876">
        <f>29596269870/1000000</f>
        <v>29596.26987</v>
      </c>
      <c r="K1876">
        <f>28449632913/1000000</f>
        <v>28449.632913000001</v>
      </c>
      <c r="L1876" s="39">
        <f t="shared" si="115"/>
        <v>0.96125738270273453</v>
      </c>
      <c r="M1876" s="39">
        <f t="shared" si="116"/>
        <v>0.96125738270273453</v>
      </c>
      <c r="N1876" t="s">
        <v>205</v>
      </c>
      <c r="O1876" t="s">
        <v>205</v>
      </c>
      <c r="P1876">
        <v>0</v>
      </c>
      <c r="Q1876">
        <v>0</v>
      </c>
      <c r="R1876" t="s">
        <v>2782</v>
      </c>
    </row>
    <row r="1877" spans="1:18" hidden="1" x14ac:dyDescent="0.3">
      <c r="A1877">
        <v>380</v>
      </c>
      <c r="B1877" t="s">
        <v>1024</v>
      </c>
      <c r="C1877" t="s">
        <v>1020</v>
      </c>
      <c r="D1877" t="s">
        <v>27</v>
      </c>
      <c r="E1877" t="s">
        <v>22</v>
      </c>
      <c r="F1877" s="79">
        <v>45657</v>
      </c>
      <c r="G1877">
        <v>2024</v>
      </c>
      <c r="H1877" t="s">
        <v>23</v>
      </c>
      <c r="I1877" t="s">
        <v>30</v>
      </c>
      <c r="J1877">
        <v>100</v>
      </c>
      <c r="K1877">
        <v>78.92</v>
      </c>
      <c r="L1877" s="39">
        <f t="shared" si="115"/>
        <v>0.78920000000000001</v>
      </c>
      <c r="M1877" s="39">
        <f t="shared" si="116"/>
        <v>0.78920000000000001</v>
      </c>
      <c r="N1877" t="s">
        <v>205</v>
      </c>
      <c r="O1877" t="s">
        <v>205</v>
      </c>
      <c r="P1877">
        <v>0</v>
      </c>
      <c r="Q1877">
        <v>0</v>
      </c>
      <c r="R1877" t="s">
        <v>1026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45107</v>
      </c>
      <c r="G1878">
        <v>2023</v>
      </c>
      <c r="H1878" t="s">
        <v>699</v>
      </c>
      <c r="I1878" t="s">
        <v>1512</v>
      </c>
      <c r="J1878">
        <v>100</v>
      </c>
      <c r="K1878">
        <v>104.27170868347</v>
      </c>
      <c r="L1878" s="39">
        <f t="shared" si="115"/>
        <v>1.0427170868347</v>
      </c>
      <c r="M1878" s="39">
        <f t="shared" si="116"/>
        <v>1.0427170868347</v>
      </c>
      <c r="N1878" t="s">
        <v>128</v>
      </c>
      <c r="O1878" t="s">
        <v>128</v>
      </c>
      <c r="P1878">
        <v>0</v>
      </c>
      <c r="Q1878">
        <v>0</v>
      </c>
      <c r="R1878" t="s">
        <v>2783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45291</v>
      </c>
      <c r="G1879">
        <v>2023</v>
      </c>
      <c r="H1879" t="s">
        <v>23</v>
      </c>
      <c r="I1879" t="s">
        <v>28</v>
      </c>
      <c r="J1879">
        <v>100</v>
      </c>
      <c r="K1879">
        <v>113.7</v>
      </c>
      <c r="L1879" s="39">
        <f t="shared" si="115"/>
        <v>1.137</v>
      </c>
      <c r="M1879" s="39">
        <f t="shared" si="116"/>
        <v>1.137</v>
      </c>
      <c r="N1879" t="s">
        <v>128</v>
      </c>
      <c r="O1879" t="s">
        <v>128</v>
      </c>
      <c r="P1879">
        <v>0</v>
      </c>
      <c r="Q1879">
        <v>0</v>
      </c>
      <c r="R1879" t="s">
        <v>1028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45473</v>
      </c>
      <c r="G1880">
        <v>2024</v>
      </c>
      <c r="H1880" t="s">
        <v>699</v>
      </c>
      <c r="I1880" t="s">
        <v>729</v>
      </c>
      <c r="J1880">
        <v>100</v>
      </c>
      <c r="K1880">
        <v>105.26</v>
      </c>
      <c r="L1880" s="39">
        <f t="shared" si="115"/>
        <v>1.0526</v>
      </c>
      <c r="M1880" s="39">
        <f t="shared" si="116"/>
        <v>1.0526</v>
      </c>
      <c r="N1880" t="s">
        <v>128</v>
      </c>
      <c r="O1880" t="s">
        <v>128</v>
      </c>
      <c r="P1880">
        <v>0</v>
      </c>
      <c r="Q1880">
        <v>0</v>
      </c>
      <c r="R1880" t="s">
        <v>2784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27</v>
      </c>
      <c r="E1881" t="s">
        <v>22</v>
      </c>
      <c r="F1881" s="79">
        <v>45657</v>
      </c>
      <c r="G1881">
        <v>2024</v>
      </c>
      <c r="H1881" t="s">
        <v>23</v>
      </c>
      <c r="I1881" t="s">
        <v>30</v>
      </c>
      <c r="J1881">
        <v>100</v>
      </c>
      <c r="K1881">
        <v>89.19</v>
      </c>
      <c r="L1881" s="39">
        <f t="shared" si="115"/>
        <v>0.89190000000000003</v>
      </c>
      <c r="M1881" s="39">
        <f t="shared" si="116"/>
        <v>0.89190000000000003</v>
      </c>
      <c r="N1881" t="s">
        <v>128</v>
      </c>
      <c r="O1881" t="s">
        <v>128</v>
      </c>
      <c r="P1881">
        <v>0</v>
      </c>
      <c r="Q1881">
        <v>0</v>
      </c>
      <c r="R1881" t="s">
        <v>1029</v>
      </c>
    </row>
    <row r="1882" spans="1:18" hidden="1" x14ac:dyDescent="0.3">
      <c r="A1882">
        <v>381</v>
      </c>
      <c r="B1882" t="s">
        <v>1027</v>
      </c>
      <c r="C1882" t="s">
        <v>1020</v>
      </c>
      <c r="D1882" t="s">
        <v>27</v>
      </c>
      <c r="E1882" t="s">
        <v>22</v>
      </c>
      <c r="F1882" s="79">
        <v>45838</v>
      </c>
      <c r="G1882">
        <v>2025</v>
      </c>
      <c r="H1882" t="s">
        <v>699</v>
      </c>
      <c r="I1882" t="s">
        <v>700</v>
      </c>
      <c r="J1882">
        <v>100</v>
      </c>
      <c r="K1882">
        <v>98.22</v>
      </c>
      <c r="L1882" s="39">
        <f t="shared" si="115"/>
        <v>0.98219999999999996</v>
      </c>
      <c r="M1882" s="39">
        <f t="shared" si="116"/>
        <v>0.98219999999999996</v>
      </c>
      <c r="N1882" t="s">
        <v>128</v>
      </c>
      <c r="O1882" t="s">
        <v>128</v>
      </c>
      <c r="P1882">
        <v>0</v>
      </c>
      <c r="Q1882">
        <v>0</v>
      </c>
      <c r="R1882" t="s">
        <v>2785</v>
      </c>
    </row>
    <row r="1883" spans="1:18" hidden="1" x14ac:dyDescent="0.3">
      <c r="A1883">
        <v>381</v>
      </c>
      <c r="B1883" t="s">
        <v>1027</v>
      </c>
      <c r="C1883" t="s">
        <v>1020</v>
      </c>
      <c r="D1883" t="s">
        <v>21</v>
      </c>
      <c r="E1883" t="s">
        <v>22</v>
      </c>
      <c r="F1883" s="79">
        <v>46022</v>
      </c>
      <c r="G1883">
        <v>2025</v>
      </c>
      <c r="H1883" t="s">
        <v>23</v>
      </c>
      <c r="I1883" t="s">
        <v>32</v>
      </c>
      <c r="J1883">
        <v>100</v>
      </c>
      <c r="K1883">
        <v>113.66</v>
      </c>
      <c r="L1883" s="39">
        <f t="shared" si="115"/>
        <v>1.1366000000000001</v>
      </c>
      <c r="M1883" s="39">
        <f t="shared" si="116"/>
        <v>1.1366000000000001</v>
      </c>
      <c r="N1883" t="s">
        <v>128</v>
      </c>
      <c r="O1883" t="s">
        <v>128</v>
      </c>
      <c r="P1883">
        <v>0</v>
      </c>
      <c r="Q1883">
        <v>0</v>
      </c>
      <c r="R1883" t="s">
        <v>1030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45107</v>
      </c>
      <c r="G1884">
        <v>2023</v>
      </c>
      <c r="H1884" t="s">
        <v>699</v>
      </c>
      <c r="I1884" t="s">
        <v>1512</v>
      </c>
      <c r="J1884">
        <v>100</v>
      </c>
      <c r="K1884">
        <v>101.25041131950999</v>
      </c>
      <c r="L1884" s="39">
        <f t="shared" si="115"/>
        <v>1.0125041131951</v>
      </c>
      <c r="M1884" s="39">
        <f t="shared" si="116"/>
        <v>1.0125041131951</v>
      </c>
      <c r="N1884" t="s">
        <v>128</v>
      </c>
      <c r="O1884" t="s">
        <v>128</v>
      </c>
      <c r="P1884">
        <v>0</v>
      </c>
      <c r="Q1884">
        <v>0</v>
      </c>
      <c r="R1884" t="s">
        <v>2786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45291</v>
      </c>
      <c r="G1885">
        <v>2023</v>
      </c>
      <c r="H1885" t="s">
        <v>23</v>
      </c>
      <c r="I1885" t="s">
        <v>28</v>
      </c>
      <c r="J1885">
        <v>100</v>
      </c>
      <c r="K1885">
        <v>103.01</v>
      </c>
      <c r="L1885" s="39">
        <f t="shared" si="115"/>
        <v>1.0301</v>
      </c>
      <c r="M1885" s="39">
        <f t="shared" si="116"/>
        <v>1.0301</v>
      </c>
      <c r="N1885" t="s">
        <v>128</v>
      </c>
      <c r="O1885" t="s">
        <v>128</v>
      </c>
      <c r="P1885">
        <v>0</v>
      </c>
      <c r="Q1885">
        <v>0</v>
      </c>
      <c r="R1885" t="s">
        <v>1032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45473</v>
      </c>
      <c r="G1886">
        <v>2024</v>
      </c>
      <c r="H1886" t="s">
        <v>699</v>
      </c>
      <c r="I1886" t="s">
        <v>729</v>
      </c>
      <c r="J1886">
        <v>100</v>
      </c>
      <c r="K1886">
        <v>93.7</v>
      </c>
      <c r="L1886" s="39">
        <f t="shared" si="115"/>
        <v>0.93700000000000006</v>
      </c>
      <c r="M1886" s="39">
        <f t="shared" si="116"/>
        <v>0.93700000000000006</v>
      </c>
      <c r="N1886" t="s">
        <v>128</v>
      </c>
      <c r="O1886" t="s">
        <v>128</v>
      </c>
      <c r="P1886">
        <v>0</v>
      </c>
      <c r="Q1886">
        <v>0</v>
      </c>
      <c r="R1886" t="s">
        <v>2787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27</v>
      </c>
      <c r="E1887" t="s">
        <v>22</v>
      </c>
      <c r="F1887" s="79">
        <v>45657</v>
      </c>
      <c r="G1887">
        <v>2024</v>
      </c>
      <c r="H1887" t="s">
        <v>23</v>
      </c>
      <c r="I1887" t="s">
        <v>30</v>
      </c>
      <c r="J1887">
        <v>100</v>
      </c>
      <c r="K1887">
        <v>98.13</v>
      </c>
      <c r="L1887" s="39">
        <f t="shared" si="115"/>
        <v>0.98129999999999995</v>
      </c>
      <c r="M1887" s="39">
        <f t="shared" si="116"/>
        <v>0.98129999999999995</v>
      </c>
      <c r="N1887" t="s">
        <v>128</v>
      </c>
      <c r="O1887" t="s">
        <v>128</v>
      </c>
      <c r="P1887">
        <v>0</v>
      </c>
      <c r="Q1887">
        <v>0</v>
      </c>
      <c r="R1887" t="s">
        <v>1033</v>
      </c>
    </row>
    <row r="1888" spans="1:18" hidden="1" x14ac:dyDescent="0.3">
      <c r="A1888">
        <v>382</v>
      </c>
      <c r="B1888" t="s">
        <v>1031</v>
      </c>
      <c r="C1888" t="s">
        <v>1020</v>
      </c>
      <c r="D1888" t="s">
        <v>27</v>
      </c>
      <c r="E1888" t="s">
        <v>22</v>
      </c>
      <c r="F1888" s="79">
        <v>45838</v>
      </c>
      <c r="G1888">
        <v>2025</v>
      </c>
      <c r="H1888" t="s">
        <v>699</v>
      </c>
      <c r="I1888" t="s">
        <v>700</v>
      </c>
      <c r="J1888">
        <v>100</v>
      </c>
      <c r="K1888">
        <v>99.85</v>
      </c>
      <c r="L1888" s="39">
        <f t="shared" si="115"/>
        <v>0.99849999999999994</v>
      </c>
      <c r="M1888" s="39">
        <f t="shared" si="116"/>
        <v>0.99849999999999994</v>
      </c>
      <c r="N1888" t="s">
        <v>128</v>
      </c>
      <c r="O1888" t="s">
        <v>128</v>
      </c>
      <c r="P1888">
        <v>0</v>
      </c>
      <c r="Q1888">
        <v>0</v>
      </c>
      <c r="R1888" t="s">
        <v>2788</v>
      </c>
    </row>
    <row r="1889" spans="1:18" hidden="1" x14ac:dyDescent="0.3">
      <c r="A1889">
        <v>382</v>
      </c>
      <c r="B1889" t="s">
        <v>1031</v>
      </c>
      <c r="C1889" t="s">
        <v>1020</v>
      </c>
      <c r="D1889" t="s">
        <v>21</v>
      </c>
      <c r="E1889" t="s">
        <v>22</v>
      </c>
      <c r="F1889" s="79">
        <v>46022</v>
      </c>
      <c r="G1889">
        <v>2025</v>
      </c>
      <c r="H1889" t="s">
        <v>23</v>
      </c>
      <c r="I1889" t="s">
        <v>32</v>
      </c>
      <c r="J1889">
        <v>100</v>
      </c>
      <c r="K1889">
        <v>97.21</v>
      </c>
      <c r="L1889" s="39">
        <f t="shared" si="115"/>
        <v>0.97209999999999996</v>
      </c>
      <c r="M1889" s="39">
        <f t="shared" si="116"/>
        <v>0.97209999999999996</v>
      </c>
      <c r="N1889" t="s">
        <v>128</v>
      </c>
      <c r="O1889" t="s">
        <v>128</v>
      </c>
      <c r="P1889">
        <v>0</v>
      </c>
      <c r="Q1889">
        <v>0</v>
      </c>
      <c r="R1889" t="s">
        <v>1034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109.38232994527</v>
      </c>
      <c r="L1890" s="39">
        <f t="shared" si="115"/>
        <v>1.0938232994527</v>
      </c>
      <c r="M1890" s="39">
        <f t="shared" si="116"/>
        <v>1.0938232994527</v>
      </c>
      <c r="N1890" t="s">
        <v>128</v>
      </c>
      <c r="O1890" t="s">
        <v>128</v>
      </c>
      <c r="P1890">
        <v>0</v>
      </c>
      <c r="Q1890">
        <v>0</v>
      </c>
      <c r="R1890" t="s">
        <v>2789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148.66</v>
      </c>
      <c r="L1891" s="39">
        <f t="shared" ref="L1891:L1921" si="117">IFERROR(IF(OR(J1891=0,K1891=""),"",IF(E1891="Positivo",MIN(MAX(K1891/J1891,0),1.3),MIN(MAX(J1891/K1891,0),1.3))),"")</f>
        <v>1.3</v>
      </c>
      <c r="M1891" s="39">
        <f t="shared" ref="M1891:M1921" si="118">IFERROR(IF(OR(J1891=0,K1891=""),"",IF(E1891="Positivo",MAX(K1891/J1891,0),MAX(J1891/K1891,0))),"")</f>
        <v>1.4865999999999999</v>
      </c>
      <c r="N1891" t="s">
        <v>128</v>
      </c>
      <c r="O1891" t="s">
        <v>128</v>
      </c>
      <c r="P1891">
        <v>0</v>
      </c>
      <c r="Q1891">
        <v>0</v>
      </c>
      <c r="R1891" t="s">
        <v>1036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100.2</v>
      </c>
      <c r="L1892" s="39">
        <f t="shared" si="117"/>
        <v>1.002</v>
      </c>
      <c r="M1892" s="39">
        <f t="shared" si="118"/>
        <v>1.002</v>
      </c>
      <c r="N1892" t="s">
        <v>128</v>
      </c>
      <c r="O1892" t="s">
        <v>128</v>
      </c>
      <c r="P1892">
        <v>0</v>
      </c>
      <c r="Q1892">
        <v>0</v>
      </c>
      <c r="R1892" t="s">
        <v>2790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120.71</v>
      </c>
      <c r="L1893" s="39">
        <f t="shared" si="117"/>
        <v>1.2070999999999998</v>
      </c>
      <c r="M1893" s="39">
        <f t="shared" si="118"/>
        <v>1.2070999999999998</v>
      </c>
      <c r="N1893" t="s">
        <v>128</v>
      </c>
      <c r="O1893" t="s">
        <v>128</v>
      </c>
      <c r="P1893">
        <v>0</v>
      </c>
      <c r="Q1893">
        <v>0</v>
      </c>
      <c r="R1893" t="s">
        <v>1037</v>
      </c>
    </row>
    <row r="1894" spans="1:18" hidden="1" x14ac:dyDescent="0.3">
      <c r="A1894">
        <v>383</v>
      </c>
      <c r="B1894" t="s">
        <v>1035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136.96</v>
      </c>
      <c r="L1894" s="39">
        <f t="shared" si="117"/>
        <v>1.3</v>
      </c>
      <c r="M1894" s="39">
        <f t="shared" si="118"/>
        <v>1.3696000000000002</v>
      </c>
      <c r="N1894" t="s">
        <v>128</v>
      </c>
      <c r="O1894" t="s">
        <v>128</v>
      </c>
      <c r="P1894">
        <v>0</v>
      </c>
      <c r="Q1894">
        <v>0</v>
      </c>
      <c r="R1894" t="s">
        <v>2791</v>
      </c>
    </row>
    <row r="1895" spans="1:18" hidden="1" x14ac:dyDescent="0.3">
      <c r="A1895">
        <v>383</v>
      </c>
      <c r="B1895" t="s">
        <v>1035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127.87</v>
      </c>
      <c r="L1895" s="39">
        <f t="shared" si="117"/>
        <v>1.2786999999999999</v>
      </c>
      <c r="M1895" s="39">
        <f t="shared" si="118"/>
        <v>1.2786999999999999</v>
      </c>
      <c r="N1895" t="s">
        <v>128</v>
      </c>
      <c r="O1895" t="s">
        <v>128</v>
      </c>
      <c r="P1895">
        <v>0</v>
      </c>
      <c r="Q1895">
        <v>0</v>
      </c>
      <c r="R1895" t="s">
        <v>1038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111.76470588235</v>
      </c>
      <c r="L1896" s="39">
        <f t="shared" si="117"/>
        <v>1.1176470588234999</v>
      </c>
      <c r="M1896" s="39">
        <f t="shared" si="118"/>
        <v>1.1176470588234999</v>
      </c>
      <c r="N1896" t="s">
        <v>128</v>
      </c>
      <c r="O1896" t="s">
        <v>128</v>
      </c>
      <c r="P1896">
        <v>0</v>
      </c>
      <c r="Q1896">
        <v>0</v>
      </c>
      <c r="R1896" t="s">
        <v>2792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115.38</v>
      </c>
      <c r="L1897" s="39">
        <f t="shared" si="117"/>
        <v>1.1537999999999999</v>
      </c>
      <c r="M1897" s="39">
        <f t="shared" si="118"/>
        <v>1.1537999999999999</v>
      </c>
      <c r="N1897" t="s">
        <v>128</v>
      </c>
      <c r="O1897" t="s">
        <v>128</v>
      </c>
      <c r="P1897">
        <v>0</v>
      </c>
      <c r="Q1897">
        <v>0</v>
      </c>
      <c r="R1897" t="s">
        <v>1040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102.2</v>
      </c>
      <c r="L1898" s="39">
        <f t="shared" si="117"/>
        <v>1.022</v>
      </c>
      <c r="M1898" s="39">
        <f t="shared" si="118"/>
        <v>1.022</v>
      </c>
      <c r="N1898" t="s">
        <v>128</v>
      </c>
      <c r="O1898" t="s">
        <v>128</v>
      </c>
      <c r="P1898">
        <v>0</v>
      </c>
      <c r="Q1898">
        <v>0</v>
      </c>
      <c r="R1898" t="s">
        <v>2793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87.9</v>
      </c>
      <c r="L1899" s="39">
        <f t="shared" si="117"/>
        <v>0.879</v>
      </c>
      <c r="M1899" s="39">
        <f t="shared" si="118"/>
        <v>0.879</v>
      </c>
      <c r="N1899" t="s">
        <v>128</v>
      </c>
      <c r="O1899" t="s">
        <v>128</v>
      </c>
      <c r="P1899">
        <v>0</v>
      </c>
      <c r="Q1899">
        <v>0</v>
      </c>
      <c r="R1899" t="s">
        <v>1041</v>
      </c>
    </row>
    <row r="1900" spans="1:18" hidden="1" x14ac:dyDescent="0.3">
      <c r="A1900">
        <v>384</v>
      </c>
      <c r="B1900" t="s">
        <v>1039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103.23</v>
      </c>
      <c r="L1900" s="39">
        <f t="shared" si="117"/>
        <v>1.0323</v>
      </c>
      <c r="M1900" s="39">
        <f t="shared" si="118"/>
        <v>1.0323</v>
      </c>
      <c r="N1900" t="s">
        <v>128</v>
      </c>
      <c r="O1900" t="s">
        <v>128</v>
      </c>
      <c r="P1900">
        <v>0</v>
      </c>
      <c r="Q1900">
        <v>0</v>
      </c>
      <c r="R1900" t="s">
        <v>2794</v>
      </c>
    </row>
    <row r="1901" spans="1:18" hidden="1" x14ac:dyDescent="0.3">
      <c r="A1901">
        <v>384</v>
      </c>
      <c r="B1901" t="s">
        <v>1039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100.93</v>
      </c>
      <c r="L1901" s="39">
        <f t="shared" si="117"/>
        <v>1.0093000000000001</v>
      </c>
      <c r="M1901" s="39">
        <f t="shared" si="118"/>
        <v>1.0093000000000001</v>
      </c>
      <c r="N1901" t="s">
        <v>128</v>
      </c>
      <c r="O1901" t="s">
        <v>128</v>
      </c>
      <c r="P1901">
        <v>0</v>
      </c>
      <c r="Q1901">
        <v>0</v>
      </c>
      <c r="R1901" t="s">
        <v>1042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102.98486566654</v>
      </c>
      <c r="L1902" s="39">
        <f t="shared" si="117"/>
        <v>1.0298486566653999</v>
      </c>
      <c r="M1902" s="39">
        <f t="shared" si="118"/>
        <v>1.0298486566653999</v>
      </c>
      <c r="N1902" t="s">
        <v>205</v>
      </c>
      <c r="O1902" t="s">
        <v>205</v>
      </c>
      <c r="P1902">
        <v>0</v>
      </c>
      <c r="Q1902">
        <v>0</v>
      </c>
      <c r="R1902" t="s">
        <v>2795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124.93</v>
      </c>
      <c r="L1903" s="39">
        <f t="shared" si="117"/>
        <v>1.2493000000000001</v>
      </c>
      <c r="M1903" s="39">
        <f t="shared" si="118"/>
        <v>1.2493000000000001</v>
      </c>
      <c r="N1903" t="s">
        <v>205</v>
      </c>
      <c r="O1903" t="s">
        <v>205</v>
      </c>
      <c r="P1903">
        <v>0</v>
      </c>
      <c r="Q1903">
        <v>0</v>
      </c>
      <c r="R1903" t="s">
        <v>1045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113.63</v>
      </c>
      <c r="L1904" s="39">
        <f t="shared" si="117"/>
        <v>1.1362999999999999</v>
      </c>
      <c r="M1904" s="39">
        <f t="shared" si="118"/>
        <v>1.1362999999999999</v>
      </c>
      <c r="N1904" t="s">
        <v>205</v>
      </c>
      <c r="O1904" t="s">
        <v>205</v>
      </c>
      <c r="P1904">
        <v>0</v>
      </c>
      <c r="Q1904">
        <v>0</v>
      </c>
      <c r="R1904" t="s">
        <v>2796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88.56</v>
      </c>
      <c r="L1905" s="39">
        <f t="shared" si="117"/>
        <v>0.88560000000000005</v>
      </c>
      <c r="M1905" s="39">
        <f t="shared" si="118"/>
        <v>0.88560000000000005</v>
      </c>
      <c r="N1905" t="s">
        <v>205</v>
      </c>
      <c r="O1905" t="s">
        <v>205</v>
      </c>
      <c r="P1905">
        <v>0</v>
      </c>
      <c r="Q1905">
        <v>0</v>
      </c>
      <c r="R1905" t="s">
        <v>1046</v>
      </c>
    </row>
    <row r="1906" spans="1:18" hidden="1" x14ac:dyDescent="0.3">
      <c r="A1906">
        <v>385</v>
      </c>
      <c r="B1906" t="s">
        <v>1043</v>
      </c>
      <c r="C1906" t="s">
        <v>1044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118.92</v>
      </c>
      <c r="L1906" s="39">
        <f t="shared" si="117"/>
        <v>1.1892</v>
      </c>
      <c r="M1906" s="39">
        <f t="shared" si="118"/>
        <v>1.1892</v>
      </c>
      <c r="N1906" t="s">
        <v>205</v>
      </c>
      <c r="O1906" t="s">
        <v>205</v>
      </c>
      <c r="P1906">
        <v>0</v>
      </c>
      <c r="Q1906">
        <v>0</v>
      </c>
      <c r="R1906" t="s">
        <v>2797</v>
      </c>
    </row>
    <row r="1907" spans="1:18" hidden="1" x14ac:dyDescent="0.3">
      <c r="A1907">
        <v>385</v>
      </c>
      <c r="B1907" t="s">
        <v>1043</v>
      </c>
      <c r="C1907" t="s">
        <v>1044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108.89</v>
      </c>
      <c r="L1907" s="39">
        <f t="shared" si="117"/>
        <v>1.0889</v>
      </c>
      <c r="M1907" s="39">
        <f t="shared" si="118"/>
        <v>1.0889</v>
      </c>
      <c r="N1907" t="s">
        <v>205</v>
      </c>
      <c r="O1907" t="s">
        <v>205</v>
      </c>
      <c r="P1907">
        <v>0</v>
      </c>
      <c r="Q1907">
        <v>0</v>
      </c>
      <c r="R1907" t="s">
        <v>1047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21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102.98486566654</v>
      </c>
      <c r="L1908" s="39">
        <f t="shared" si="117"/>
        <v>1.0298486566653999</v>
      </c>
      <c r="M1908" s="39">
        <f t="shared" si="118"/>
        <v>1.0298486566653999</v>
      </c>
      <c r="N1908" t="s">
        <v>25</v>
      </c>
      <c r="O1908" t="s">
        <v>25</v>
      </c>
      <c r="P1908">
        <v>0</v>
      </c>
      <c r="Q1908">
        <v>0</v>
      </c>
      <c r="R1908" t="s">
        <v>2798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138.22</v>
      </c>
      <c r="L1909" s="39">
        <f t="shared" si="117"/>
        <v>1.3</v>
      </c>
      <c r="M1909" s="39">
        <f t="shared" si="118"/>
        <v>1.3822000000000001</v>
      </c>
      <c r="N1909" t="s">
        <v>205</v>
      </c>
      <c r="O1909" t="s">
        <v>205</v>
      </c>
      <c r="P1909">
        <v>0</v>
      </c>
      <c r="Q1909">
        <v>0</v>
      </c>
      <c r="R1909" t="s">
        <v>1049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113.63</v>
      </c>
      <c r="L1910" s="39">
        <f t="shared" si="117"/>
        <v>1.1362999999999999</v>
      </c>
      <c r="M1910" s="39">
        <f t="shared" si="118"/>
        <v>1.1362999999999999</v>
      </c>
      <c r="N1910" t="s">
        <v>205</v>
      </c>
      <c r="O1910" t="s">
        <v>205</v>
      </c>
      <c r="P1910">
        <v>0</v>
      </c>
      <c r="Q1910">
        <v>0</v>
      </c>
      <c r="R1910" t="s">
        <v>2799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75.010000000000005</v>
      </c>
      <c r="L1911" s="39">
        <f t="shared" si="117"/>
        <v>0.7501000000000001</v>
      </c>
      <c r="M1911" s="39">
        <f t="shared" si="118"/>
        <v>0.7501000000000001</v>
      </c>
      <c r="N1911" t="s">
        <v>205</v>
      </c>
      <c r="O1911" t="s">
        <v>205</v>
      </c>
      <c r="P1911">
        <v>0</v>
      </c>
      <c r="Q1911">
        <v>0</v>
      </c>
      <c r="R1911" t="s">
        <v>1050</v>
      </c>
    </row>
    <row r="1912" spans="1:18" hidden="1" x14ac:dyDescent="0.3">
      <c r="A1912">
        <v>386</v>
      </c>
      <c r="B1912" t="s">
        <v>1048</v>
      </c>
      <c r="C1912" t="s">
        <v>1044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118.92</v>
      </c>
      <c r="L1912" s="39">
        <f t="shared" si="117"/>
        <v>1.1892</v>
      </c>
      <c r="M1912" s="39">
        <f t="shared" si="118"/>
        <v>1.1892</v>
      </c>
      <c r="N1912" t="s">
        <v>205</v>
      </c>
      <c r="O1912" t="s">
        <v>205</v>
      </c>
      <c r="P1912">
        <v>0</v>
      </c>
      <c r="Q1912">
        <v>0</v>
      </c>
      <c r="R1912" t="s">
        <v>2800</v>
      </c>
    </row>
    <row r="1913" spans="1:18" hidden="1" x14ac:dyDescent="0.3">
      <c r="A1913">
        <v>386</v>
      </c>
      <c r="B1913" t="s">
        <v>1048</v>
      </c>
      <c r="C1913" t="s">
        <v>1044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106.54</v>
      </c>
      <c r="L1913" s="39">
        <f t="shared" si="117"/>
        <v>1.0654000000000001</v>
      </c>
      <c r="M1913" s="39">
        <f t="shared" si="118"/>
        <v>1.0654000000000001</v>
      </c>
      <c r="N1913" t="s">
        <v>25</v>
      </c>
      <c r="O1913" t="s">
        <v>25</v>
      </c>
      <c r="P1913">
        <v>0</v>
      </c>
      <c r="Q1913">
        <v>0</v>
      </c>
      <c r="R1913" t="s">
        <v>1051</v>
      </c>
    </row>
    <row r="1914" spans="1:18" hidden="1" x14ac:dyDescent="0.3">
      <c r="A1914">
        <v>387</v>
      </c>
      <c r="B1914" t="s">
        <v>1052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38</v>
      </c>
      <c r="K1914">
        <v>38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2801</v>
      </c>
    </row>
    <row r="1915" spans="1:18" hidden="1" x14ac:dyDescent="0.3">
      <c r="A1915">
        <v>387</v>
      </c>
      <c r="B1915" t="s">
        <v>1052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0</v>
      </c>
      <c r="K1915">
        <v>0</v>
      </c>
      <c r="L1915" s="39" t="str">
        <f t="shared" si="117"/>
        <v/>
      </c>
      <c r="M1915" s="39" t="str">
        <f t="shared" si="118"/>
        <v/>
      </c>
      <c r="N1915" t="s">
        <v>205</v>
      </c>
      <c r="O1915" t="s">
        <v>205</v>
      </c>
      <c r="P1915">
        <v>0</v>
      </c>
      <c r="Q1915">
        <v>0</v>
      </c>
      <c r="R1915" t="s">
        <v>1053</v>
      </c>
    </row>
    <row r="1916" spans="1:18" hidden="1" x14ac:dyDescent="0.3">
      <c r="A1916">
        <v>388</v>
      </c>
      <c r="B1916" t="s">
        <v>1054</v>
      </c>
      <c r="C1916" t="s">
        <v>549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77</v>
      </c>
      <c r="K1916">
        <v>77</v>
      </c>
      <c r="L1916" s="39">
        <f t="shared" si="117"/>
        <v>1</v>
      </c>
      <c r="M1916" s="39">
        <f t="shared" si="118"/>
        <v>1</v>
      </c>
      <c r="N1916" t="s">
        <v>205</v>
      </c>
      <c r="O1916" t="s">
        <v>205</v>
      </c>
      <c r="P1916">
        <v>0</v>
      </c>
      <c r="Q1916">
        <v>0</v>
      </c>
      <c r="R1916" t="s">
        <v>2802</v>
      </c>
    </row>
    <row r="1917" spans="1:18" hidden="1" x14ac:dyDescent="0.3">
      <c r="A1917">
        <v>388</v>
      </c>
      <c r="B1917" t="s">
        <v>1054</v>
      </c>
      <c r="C1917" t="s">
        <v>549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16</v>
      </c>
      <c r="K1917">
        <v>16</v>
      </c>
      <c r="L1917" s="39">
        <f t="shared" si="117"/>
        <v>1</v>
      </c>
      <c r="M1917" s="39">
        <f t="shared" si="118"/>
        <v>1</v>
      </c>
      <c r="N1917" t="s">
        <v>205</v>
      </c>
      <c r="O1917" t="s">
        <v>205</v>
      </c>
      <c r="P1917">
        <v>0</v>
      </c>
      <c r="Q1917">
        <v>0</v>
      </c>
      <c r="R1917" t="s">
        <v>1055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45107</v>
      </c>
      <c r="G1918">
        <v>2023</v>
      </c>
      <c r="H1918" t="s">
        <v>699</v>
      </c>
      <c r="I1918" t="s">
        <v>1512</v>
      </c>
      <c r="J1918">
        <v>91</v>
      </c>
      <c r="K1918">
        <v>1017.39998626709</v>
      </c>
      <c r="L1918" s="39">
        <f t="shared" si="117"/>
        <v>1.3</v>
      </c>
      <c r="M1918" s="39">
        <f t="shared" si="118"/>
        <v>11.180219629308681</v>
      </c>
      <c r="N1918" t="s">
        <v>205</v>
      </c>
      <c r="O1918" t="s">
        <v>205</v>
      </c>
      <c r="P1918">
        <v>0</v>
      </c>
      <c r="Q1918">
        <v>0</v>
      </c>
      <c r="R1918" t="s">
        <v>2803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45291</v>
      </c>
      <c r="G1919">
        <v>2023</v>
      </c>
      <c r="H1919" t="s">
        <v>23</v>
      </c>
      <c r="I1919" t="s">
        <v>28</v>
      </c>
      <c r="J1919">
        <v>91</v>
      </c>
      <c r="K1919">
        <v>0</v>
      </c>
      <c r="L1919" s="39">
        <f t="shared" si="117"/>
        <v>0</v>
      </c>
      <c r="M1919" s="39">
        <f t="shared" si="118"/>
        <v>0</v>
      </c>
      <c r="N1919" t="s">
        <v>205</v>
      </c>
      <c r="O1919" t="s">
        <v>205</v>
      </c>
      <c r="P1919">
        <v>0</v>
      </c>
      <c r="Q1919">
        <v>0</v>
      </c>
      <c r="R1919" t="s">
        <v>1057</v>
      </c>
    </row>
    <row r="1920" spans="1:18" hidden="1" x14ac:dyDescent="0.3">
      <c r="A1920">
        <v>389</v>
      </c>
      <c r="B1920" t="s">
        <v>1056</v>
      </c>
      <c r="C1920" t="s">
        <v>536</v>
      </c>
      <c r="D1920" t="s">
        <v>27</v>
      </c>
      <c r="E1920" t="s">
        <v>22</v>
      </c>
      <c r="F1920" s="79">
        <v>45473</v>
      </c>
      <c r="G1920">
        <v>2024</v>
      </c>
      <c r="H1920" t="s">
        <v>699</v>
      </c>
      <c r="I1920" t="s">
        <v>729</v>
      </c>
      <c r="J1920">
        <v>85</v>
      </c>
      <c r="K1920">
        <v>84.433333333333323</v>
      </c>
      <c r="L1920" s="39">
        <f t="shared" si="117"/>
        <v>0.99333333333333318</v>
      </c>
      <c r="M1920" s="39">
        <f t="shared" si="118"/>
        <v>0.99333333333333318</v>
      </c>
      <c r="N1920" t="s">
        <v>25</v>
      </c>
      <c r="O1920" t="s">
        <v>25</v>
      </c>
      <c r="P1920">
        <v>0</v>
      </c>
      <c r="Q1920">
        <v>0</v>
      </c>
      <c r="R1920" t="s">
        <v>2804</v>
      </c>
    </row>
    <row r="1921" spans="1:19" hidden="1" x14ac:dyDescent="0.3">
      <c r="A1921">
        <v>389</v>
      </c>
      <c r="B1921" t="s">
        <v>1056</v>
      </c>
      <c r="C1921" t="s">
        <v>536</v>
      </c>
      <c r="D1921" t="s">
        <v>27</v>
      </c>
      <c r="E1921" t="s">
        <v>22</v>
      </c>
      <c r="F1921" s="79">
        <v>45657</v>
      </c>
      <c r="G1921">
        <v>2024</v>
      </c>
      <c r="H1921" t="s">
        <v>23</v>
      </c>
      <c r="I1921" t="s">
        <v>30</v>
      </c>
      <c r="J1921">
        <v>85</v>
      </c>
      <c r="K1921">
        <v>0</v>
      </c>
      <c r="L1921" s="39">
        <f t="shared" si="117"/>
        <v>0</v>
      </c>
      <c r="M1921" s="39">
        <f t="shared" si="118"/>
        <v>0</v>
      </c>
      <c r="N1921" t="s">
        <v>25</v>
      </c>
      <c r="O1921" t="s">
        <v>25</v>
      </c>
      <c r="P1921">
        <v>0</v>
      </c>
      <c r="Q1921">
        <v>0</v>
      </c>
      <c r="R1921" t="s">
        <v>1058</v>
      </c>
    </row>
    <row r="1922" spans="1:19" hidden="1" x14ac:dyDescent="0.3">
      <c r="A1922">
        <v>389</v>
      </c>
      <c r="B1922" t="s">
        <v>1056</v>
      </c>
      <c r="C1922" t="s">
        <v>1059</v>
      </c>
      <c r="D1922" t="s">
        <v>21</v>
      </c>
      <c r="E1922" t="s">
        <v>22</v>
      </c>
      <c r="F1922" s="79">
        <v>45838</v>
      </c>
      <c r="G1922">
        <v>2025</v>
      </c>
      <c r="H1922" t="s">
        <v>699</v>
      </c>
      <c r="I1922" t="s">
        <v>700</v>
      </c>
      <c r="K1922">
        <v>0</v>
      </c>
      <c r="L1922" s="39"/>
      <c r="M1922" s="39"/>
      <c r="N1922" t="s">
        <v>25</v>
      </c>
      <c r="O1922" t="s">
        <v>25</v>
      </c>
      <c r="P1922">
        <v>0</v>
      </c>
      <c r="Q1922">
        <v>0</v>
      </c>
      <c r="R1922" t="s">
        <v>2805</v>
      </c>
    </row>
    <row r="1923" spans="1:19" hidden="1" x14ac:dyDescent="0.3">
      <c r="A1923">
        <v>389</v>
      </c>
      <c r="B1923" t="s">
        <v>1056</v>
      </c>
      <c r="C1923" t="s">
        <v>1059</v>
      </c>
      <c r="D1923" t="s">
        <v>21</v>
      </c>
      <c r="E1923" t="s">
        <v>22</v>
      </c>
      <c r="F1923" s="79">
        <v>46022</v>
      </c>
      <c r="G1923">
        <v>2025</v>
      </c>
      <c r="H1923" t="s">
        <v>23</v>
      </c>
      <c r="I1923" t="s">
        <v>32</v>
      </c>
      <c r="L1923" s="39"/>
      <c r="M1923" s="39"/>
      <c r="N1923" t="s">
        <v>25</v>
      </c>
      <c r="O1923" t="s">
        <v>302</v>
      </c>
      <c r="P1923">
        <v>0</v>
      </c>
      <c r="Q1923">
        <v>0</v>
      </c>
      <c r="R1923" t="s">
        <v>1060</v>
      </c>
      <c r="S1923" t="s">
        <v>302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27</v>
      </c>
      <c r="E1924" t="s">
        <v>22</v>
      </c>
      <c r="F1924" s="79">
        <v>45016</v>
      </c>
      <c r="G1924">
        <v>2023</v>
      </c>
      <c r="H1924" t="s">
        <v>1516</v>
      </c>
      <c r="I1924" t="s">
        <v>1512</v>
      </c>
      <c r="J1924">
        <v>100</v>
      </c>
      <c r="K1924">
        <v>0</v>
      </c>
      <c r="L1924" s="39">
        <f t="shared" ref="L1924:L1935" si="119">IFERROR(IF(OR(J1924=0,K1924=""),"",IF(E1924="Positivo",MIN(MAX(K1924/J1924,0),1),MIN(MAX(J1924/K1924,0),1))),"")</f>
        <v>0</v>
      </c>
      <c r="M1924" s="39">
        <f t="shared" ref="M1924:M1946" si="120">IFERROR(IF(OR(J1924=0,K1924=""),"",IF(E1924="Positivo",MAX(K1924/J1924,0),MAX(J1924/K1924,0))),"")</f>
        <v>0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45107</v>
      </c>
      <c r="G1925">
        <v>2023</v>
      </c>
      <c r="H1925" t="s">
        <v>699</v>
      </c>
      <c r="I1925" t="s">
        <v>1512</v>
      </c>
      <c r="J1925">
        <v>100</v>
      </c>
      <c r="K1925">
        <v>110.38416666667</v>
      </c>
      <c r="L1925" s="39">
        <f t="shared" si="119"/>
        <v>1</v>
      </c>
      <c r="M1925" s="39">
        <f t="shared" si="120"/>
        <v>1.1038416666666999</v>
      </c>
      <c r="N1925" t="s">
        <v>25</v>
      </c>
      <c r="O1925" t="s">
        <v>25</v>
      </c>
      <c r="P1925">
        <v>0</v>
      </c>
      <c r="Q1925">
        <v>0</v>
      </c>
      <c r="R1925" t="s">
        <v>2807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45199</v>
      </c>
      <c r="G1926">
        <v>2023</v>
      </c>
      <c r="H1926" t="s">
        <v>162</v>
      </c>
      <c r="I1926" t="s">
        <v>28</v>
      </c>
      <c r="J1926">
        <v>100</v>
      </c>
      <c r="K1926">
        <v>95.344166666666993</v>
      </c>
      <c r="L1926" s="39">
        <f t="shared" si="119"/>
        <v>0.95344166666666996</v>
      </c>
      <c r="M1926" s="39">
        <f t="shared" si="120"/>
        <v>0.95344166666666996</v>
      </c>
      <c r="N1926" t="s">
        <v>25</v>
      </c>
      <c r="O1926" t="s">
        <v>25</v>
      </c>
      <c r="P1926">
        <v>0</v>
      </c>
      <c r="Q1926">
        <v>0</v>
      </c>
      <c r="R1926" t="s">
        <v>2808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100</v>
      </c>
      <c r="K1927">
        <v>99.249166666666994</v>
      </c>
      <c r="L1927" s="39">
        <f t="shared" si="119"/>
        <v>0.99249166666666999</v>
      </c>
      <c r="M1927" s="39">
        <f t="shared" si="120"/>
        <v>0.99249166666666999</v>
      </c>
      <c r="N1927" t="s">
        <v>25</v>
      </c>
      <c r="O1927" t="s">
        <v>25</v>
      </c>
      <c r="P1927">
        <v>0</v>
      </c>
      <c r="Q1927">
        <v>0</v>
      </c>
      <c r="R1927" t="s">
        <v>1062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45382</v>
      </c>
      <c r="G1928">
        <v>2024</v>
      </c>
      <c r="H1928" t="s">
        <v>1516</v>
      </c>
      <c r="I1928" t="s">
        <v>729</v>
      </c>
      <c r="J1928">
        <v>100</v>
      </c>
      <c r="K1928">
        <v>168.53</v>
      </c>
      <c r="L1928" s="39">
        <f t="shared" si="119"/>
        <v>1</v>
      </c>
      <c r="M1928" s="39">
        <f t="shared" si="120"/>
        <v>1.6853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45473</v>
      </c>
      <c r="G1929">
        <v>2024</v>
      </c>
      <c r="H1929" t="s">
        <v>699</v>
      </c>
      <c r="I1929" t="s">
        <v>729</v>
      </c>
      <c r="J1929">
        <v>100</v>
      </c>
      <c r="K1929">
        <v>110.59</v>
      </c>
      <c r="L1929" s="39">
        <f t="shared" si="119"/>
        <v>1</v>
      </c>
      <c r="M1929" s="39">
        <f t="shared" si="120"/>
        <v>1.1059000000000001</v>
      </c>
      <c r="P1929">
        <v>0</v>
      </c>
      <c r="Q1929">
        <v>0</v>
      </c>
      <c r="R1929" t="s">
        <v>2810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21</v>
      </c>
      <c r="E1930" t="s">
        <v>22</v>
      </c>
      <c r="F1930" s="79">
        <v>45565</v>
      </c>
      <c r="G1930">
        <v>2024</v>
      </c>
      <c r="H1930" t="s">
        <v>162</v>
      </c>
      <c r="I1930" t="s">
        <v>30</v>
      </c>
      <c r="J1930">
        <v>100</v>
      </c>
      <c r="K1930">
        <v>83.32</v>
      </c>
      <c r="L1930" s="39">
        <f t="shared" si="119"/>
        <v>0.83319999999999994</v>
      </c>
      <c r="M1930" s="39">
        <f t="shared" si="120"/>
        <v>0.83319999999999994</v>
      </c>
      <c r="P1930">
        <v>0</v>
      </c>
      <c r="Q1930">
        <v>0</v>
      </c>
      <c r="R1930" t="s">
        <v>2811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21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99.92</v>
      </c>
      <c r="L1931" s="39">
        <f t="shared" si="119"/>
        <v>0.99919999999999998</v>
      </c>
      <c r="M1931" s="39">
        <f t="shared" si="120"/>
        <v>0.99919999999999998</v>
      </c>
      <c r="P1931">
        <v>0</v>
      </c>
      <c r="Q1931">
        <v>0</v>
      </c>
      <c r="R1931" t="s">
        <v>1063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45747</v>
      </c>
      <c r="G1932">
        <v>2025</v>
      </c>
      <c r="H1932" t="s">
        <v>1516</v>
      </c>
      <c r="I1932" t="s">
        <v>700</v>
      </c>
      <c r="J1932">
        <v>100</v>
      </c>
      <c r="K1932">
        <v>140.57</v>
      </c>
      <c r="L1932" s="39">
        <f t="shared" si="119"/>
        <v>1</v>
      </c>
      <c r="M1932" s="39">
        <f t="shared" si="120"/>
        <v>1.4056999999999999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45838</v>
      </c>
      <c r="G1933">
        <v>2025</v>
      </c>
      <c r="H1933" t="s">
        <v>699</v>
      </c>
      <c r="I1933" t="s">
        <v>700</v>
      </c>
      <c r="J1933">
        <v>100</v>
      </c>
      <c r="K1933">
        <v>103.55</v>
      </c>
      <c r="L1933" s="39">
        <f t="shared" si="119"/>
        <v>1</v>
      </c>
      <c r="M1933" s="39">
        <f t="shared" si="120"/>
        <v>1.0354999999999999</v>
      </c>
      <c r="N1933" t="s">
        <v>25</v>
      </c>
      <c r="O1933" t="s">
        <v>25</v>
      </c>
      <c r="P1933">
        <v>0</v>
      </c>
      <c r="Q1933">
        <v>0</v>
      </c>
      <c r="R1933" t="s">
        <v>2813</v>
      </c>
    </row>
    <row r="1934" spans="1:19" hidden="1" x14ac:dyDescent="0.3">
      <c r="A1934">
        <v>390</v>
      </c>
      <c r="B1934" t="s">
        <v>1061</v>
      </c>
      <c r="C1934" t="s">
        <v>567</v>
      </c>
      <c r="D1934" t="s">
        <v>27</v>
      </c>
      <c r="E1934" t="s">
        <v>22</v>
      </c>
      <c r="F1934" s="79">
        <v>45930</v>
      </c>
      <c r="G1934">
        <v>2025</v>
      </c>
      <c r="H1934" t="s">
        <v>162</v>
      </c>
      <c r="I1934" t="s">
        <v>32</v>
      </c>
      <c r="J1934">
        <v>100</v>
      </c>
      <c r="K1934">
        <v>101.17</v>
      </c>
      <c r="L1934" s="39">
        <f t="shared" si="119"/>
        <v>1</v>
      </c>
      <c r="M1934" s="39">
        <f t="shared" si="120"/>
        <v>1.0117</v>
      </c>
      <c r="N1934" t="s">
        <v>25</v>
      </c>
      <c r="O1934" t="s">
        <v>25</v>
      </c>
      <c r="P1934">
        <v>0</v>
      </c>
      <c r="Q1934">
        <v>0</v>
      </c>
      <c r="R1934" t="s">
        <v>2814</v>
      </c>
    </row>
    <row r="1935" spans="1:19" hidden="1" x14ac:dyDescent="0.3">
      <c r="A1935">
        <v>390</v>
      </c>
      <c r="B1935" t="s">
        <v>1061</v>
      </c>
      <c r="C1935" t="s">
        <v>567</v>
      </c>
      <c r="D1935" t="s">
        <v>27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J1935">
        <v>100</v>
      </c>
      <c r="K1935">
        <v>99.78</v>
      </c>
      <c r="L1935" s="39">
        <f t="shared" si="119"/>
        <v>0.99780000000000002</v>
      </c>
      <c r="M1935" s="39">
        <f t="shared" si="120"/>
        <v>0.99780000000000002</v>
      </c>
      <c r="N1935" t="s">
        <v>25</v>
      </c>
      <c r="O1935" t="s">
        <v>25</v>
      </c>
      <c r="P1935">
        <v>0</v>
      </c>
      <c r="Q1935">
        <v>0</v>
      </c>
      <c r="R1935" t="s">
        <v>1064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45107</v>
      </c>
      <c r="G1936">
        <v>2023</v>
      </c>
      <c r="H1936" t="s">
        <v>699</v>
      </c>
      <c r="I1936" t="s">
        <v>1512</v>
      </c>
      <c r="J1936">
        <v>100</v>
      </c>
      <c r="K1936">
        <v>100</v>
      </c>
      <c r="L1936" s="39">
        <f t="shared" ref="L1936:L1946" si="121">IFERROR(IF(OR(J1936=0,K1936=""),"",IF(E1936="Positivo",MIN(MAX(K1936/J1936,0),1.3),MIN(MAX(J1936/K1936,0),1.3))),"")</f>
        <v>1</v>
      </c>
      <c r="M1936" s="39">
        <f t="shared" si="120"/>
        <v>1</v>
      </c>
      <c r="N1936" t="s">
        <v>25</v>
      </c>
      <c r="O1936" t="s">
        <v>25</v>
      </c>
      <c r="P1936">
        <v>0</v>
      </c>
      <c r="Q1936">
        <v>0</v>
      </c>
      <c r="R1936" t="s">
        <v>2815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45291</v>
      </c>
      <c r="G1937">
        <v>2023</v>
      </c>
      <c r="H1937" t="s">
        <v>23</v>
      </c>
      <c r="I1937" t="s">
        <v>28</v>
      </c>
      <c r="J1937">
        <v>100</v>
      </c>
      <c r="K1937">
        <v>100</v>
      </c>
      <c r="L1937" s="39">
        <f t="shared" si="121"/>
        <v>1</v>
      </c>
      <c r="M1937" s="39">
        <f t="shared" si="120"/>
        <v>1</v>
      </c>
      <c r="N1937" t="s">
        <v>25</v>
      </c>
      <c r="O1937" t="s">
        <v>25</v>
      </c>
      <c r="P1937">
        <v>0</v>
      </c>
      <c r="Q1937">
        <v>0</v>
      </c>
      <c r="R1937" t="s">
        <v>1067</v>
      </c>
    </row>
    <row r="1938" spans="1:18" hidden="1" x14ac:dyDescent="0.3">
      <c r="A1938">
        <v>391</v>
      </c>
      <c r="B1938" t="s">
        <v>1065</v>
      </c>
      <c r="C1938" t="s">
        <v>1066</v>
      </c>
      <c r="D1938" t="s">
        <v>27</v>
      </c>
      <c r="E1938" t="s">
        <v>22</v>
      </c>
      <c r="F1938" s="79">
        <v>45473</v>
      </c>
      <c r="G1938">
        <v>2024</v>
      </c>
      <c r="H1938" t="s">
        <v>699</v>
      </c>
      <c r="I1938" t="s">
        <v>729</v>
      </c>
      <c r="J1938">
        <v>96</v>
      </c>
      <c r="K1938">
        <v>100</v>
      </c>
      <c r="L1938" s="39">
        <f t="shared" si="121"/>
        <v>1.0416666666666667</v>
      </c>
      <c r="M1938" s="39">
        <f t="shared" si="120"/>
        <v>1.0416666666666667</v>
      </c>
      <c r="N1938" t="s">
        <v>25</v>
      </c>
      <c r="O1938" t="s">
        <v>25</v>
      </c>
      <c r="P1938">
        <v>0</v>
      </c>
      <c r="Q1938">
        <v>0</v>
      </c>
      <c r="R1938" t="s">
        <v>2816</v>
      </c>
    </row>
    <row r="1939" spans="1:18" hidden="1" x14ac:dyDescent="0.3">
      <c r="A1939">
        <v>391</v>
      </c>
      <c r="B1939" t="s">
        <v>1065</v>
      </c>
      <c r="C1939" t="s">
        <v>1066</v>
      </c>
      <c r="D1939" t="s">
        <v>27</v>
      </c>
      <c r="E1939" t="s">
        <v>22</v>
      </c>
      <c r="F1939" s="79">
        <v>45657</v>
      </c>
      <c r="G1939">
        <v>2024</v>
      </c>
      <c r="H1939" t="s">
        <v>23</v>
      </c>
      <c r="I1939" t="s">
        <v>30</v>
      </c>
      <c r="J1939">
        <v>96</v>
      </c>
      <c r="K1939">
        <v>100</v>
      </c>
      <c r="L1939" s="39">
        <f t="shared" si="121"/>
        <v>1.0416666666666667</v>
      </c>
      <c r="M1939" s="39">
        <f t="shared" si="120"/>
        <v>1.0416666666666667</v>
      </c>
      <c r="N1939" t="s">
        <v>25</v>
      </c>
      <c r="O1939" t="s">
        <v>25</v>
      </c>
      <c r="P1939">
        <v>0</v>
      </c>
      <c r="Q1939">
        <v>0</v>
      </c>
      <c r="R1939" t="s">
        <v>1068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45107</v>
      </c>
      <c r="G1940">
        <v>2023</v>
      </c>
      <c r="H1940" t="s">
        <v>699</v>
      </c>
      <c r="I1940" t="s">
        <v>1512</v>
      </c>
      <c r="J1940">
        <v>100</v>
      </c>
      <c r="K1940">
        <v>110.09198322581</v>
      </c>
      <c r="L1940" s="39">
        <f t="shared" si="121"/>
        <v>1.1009198322581</v>
      </c>
      <c r="M1940" s="39">
        <f t="shared" si="120"/>
        <v>1.1009198322581</v>
      </c>
      <c r="N1940" t="s">
        <v>25</v>
      </c>
      <c r="O1940" t="s">
        <v>25</v>
      </c>
      <c r="P1940">
        <v>0</v>
      </c>
      <c r="Q1940">
        <v>0</v>
      </c>
      <c r="R1940" t="s">
        <v>2817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147.38</v>
      </c>
      <c r="L1941" s="39">
        <f t="shared" si="121"/>
        <v>1.3</v>
      </c>
      <c r="M1941" s="39">
        <f t="shared" si="120"/>
        <v>1.4738</v>
      </c>
      <c r="N1941" t="s">
        <v>25</v>
      </c>
      <c r="O1941" t="s">
        <v>25</v>
      </c>
      <c r="P1941">
        <v>0</v>
      </c>
      <c r="Q1941">
        <v>0</v>
      </c>
      <c r="R1941" t="s">
        <v>1070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98.11</v>
      </c>
      <c r="L1942" s="39">
        <f t="shared" si="121"/>
        <v>0.98109999999999997</v>
      </c>
      <c r="M1942" s="39">
        <f t="shared" si="120"/>
        <v>0.98109999999999997</v>
      </c>
      <c r="N1942" t="s">
        <v>205</v>
      </c>
      <c r="O1942" t="s">
        <v>205</v>
      </c>
      <c r="P1942">
        <v>0</v>
      </c>
      <c r="Q1942">
        <v>0</v>
      </c>
      <c r="R1942" t="s">
        <v>2818</v>
      </c>
    </row>
    <row r="1943" spans="1:18" hidden="1" x14ac:dyDescent="0.3">
      <c r="A1943">
        <v>392</v>
      </c>
      <c r="B1943" t="s">
        <v>1069</v>
      </c>
      <c r="C1943" t="s">
        <v>1066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145.21</v>
      </c>
      <c r="L1943" s="39">
        <f t="shared" si="121"/>
        <v>1.3</v>
      </c>
      <c r="M1943" s="39">
        <f t="shared" si="120"/>
        <v>1.4521000000000002</v>
      </c>
      <c r="N1943" t="s">
        <v>205</v>
      </c>
      <c r="O1943" t="s">
        <v>205</v>
      </c>
      <c r="P1943">
        <v>0</v>
      </c>
      <c r="Q1943">
        <v>0</v>
      </c>
      <c r="R1943" t="s">
        <v>1071</v>
      </c>
    </row>
    <row r="1944" spans="1:18" hidden="1" x14ac:dyDescent="0.3">
      <c r="A1944">
        <v>392</v>
      </c>
      <c r="B1944" t="s">
        <v>1069</v>
      </c>
      <c r="C1944" t="s">
        <v>1066</v>
      </c>
      <c r="D1944" t="s">
        <v>71</v>
      </c>
      <c r="E1944" t="s">
        <v>22</v>
      </c>
      <c r="F1944" s="79">
        <v>46022</v>
      </c>
      <c r="G1944">
        <v>2025</v>
      </c>
      <c r="H1944" t="s">
        <v>23</v>
      </c>
      <c r="I1944" t="s">
        <v>32</v>
      </c>
      <c r="J1944">
        <v>100</v>
      </c>
      <c r="K1944">
        <v>100.8</v>
      </c>
      <c r="L1944" s="39">
        <f t="shared" si="121"/>
        <v>1.008</v>
      </c>
      <c r="M1944" s="39">
        <f t="shared" si="120"/>
        <v>1.008</v>
      </c>
      <c r="N1944" t="s">
        <v>205</v>
      </c>
      <c r="O1944" t="s">
        <v>205</v>
      </c>
      <c r="P1944">
        <v>0</v>
      </c>
      <c r="Q1944">
        <v>0</v>
      </c>
      <c r="R1944" t="s">
        <v>1072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22</v>
      </c>
      <c r="F1945" s="79">
        <v>45291</v>
      </c>
      <c r="G1945">
        <v>2023</v>
      </c>
      <c r="H1945" t="s">
        <v>23</v>
      </c>
      <c r="I1945" t="s">
        <v>28</v>
      </c>
      <c r="J1945">
        <v>15</v>
      </c>
      <c r="K1945">
        <v>15.45</v>
      </c>
      <c r="L1945" s="39">
        <f t="shared" si="121"/>
        <v>1.03</v>
      </c>
      <c r="M1945" s="39">
        <f t="shared" si="120"/>
        <v>1.03</v>
      </c>
      <c r="N1945" t="s">
        <v>205</v>
      </c>
      <c r="O1945" t="s">
        <v>205</v>
      </c>
      <c r="P1945">
        <v>0</v>
      </c>
      <c r="Q1945">
        <v>0</v>
      </c>
      <c r="R1945" t="s">
        <v>1074</v>
      </c>
    </row>
    <row r="1946" spans="1:18" hidden="1" x14ac:dyDescent="0.3">
      <c r="A1946">
        <v>393</v>
      </c>
      <c r="B1946" t="s">
        <v>1073</v>
      </c>
      <c r="C1946" t="s">
        <v>1066</v>
      </c>
      <c r="D1946" t="s">
        <v>71</v>
      </c>
      <c r="E1946" t="s">
        <v>41</v>
      </c>
      <c r="F1946" s="79">
        <v>45657</v>
      </c>
      <c r="G1946">
        <v>2024</v>
      </c>
      <c r="H1946" t="s">
        <v>23</v>
      </c>
      <c r="I1946" t="s">
        <v>30</v>
      </c>
      <c r="J1946">
        <v>15</v>
      </c>
      <c r="K1946">
        <v>13</v>
      </c>
      <c r="L1946" s="39">
        <f t="shared" si="121"/>
        <v>1.1538461538461537</v>
      </c>
      <c r="M1946" s="39">
        <f t="shared" si="120"/>
        <v>1.1538461538461537</v>
      </c>
      <c r="P1946">
        <v>0</v>
      </c>
      <c r="Q1946">
        <v>0</v>
      </c>
      <c r="R1946" t="s">
        <v>1075</v>
      </c>
    </row>
    <row r="1947" spans="1:18" hidden="1" x14ac:dyDescent="0.3">
      <c r="A1947">
        <v>393</v>
      </c>
      <c r="B1947" t="s">
        <v>1073</v>
      </c>
      <c r="C1947" t="s">
        <v>1066</v>
      </c>
      <c r="D1947" t="s">
        <v>71</v>
      </c>
      <c r="E1947" t="s">
        <v>41</v>
      </c>
      <c r="F1947" s="79">
        <v>46022</v>
      </c>
      <c r="G1947">
        <v>2025</v>
      </c>
      <c r="H1947" t="s">
        <v>23</v>
      </c>
      <c r="I1947" t="s">
        <v>32</v>
      </c>
      <c r="K1947">
        <v>12</v>
      </c>
      <c r="L1947" s="39"/>
      <c r="M1947" s="39"/>
      <c r="N1947" t="s">
        <v>128</v>
      </c>
      <c r="O1947" t="s">
        <v>136</v>
      </c>
      <c r="P1947">
        <v>1</v>
      </c>
      <c r="Q1947">
        <v>1</v>
      </c>
      <c r="R1947" t="s">
        <v>1076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45016</v>
      </c>
      <c r="G1948">
        <v>2023</v>
      </c>
      <c r="H1948" t="s">
        <v>1516</v>
      </c>
      <c r="I1948" t="s">
        <v>1512</v>
      </c>
      <c r="J1948">
        <v>100</v>
      </c>
      <c r="K1948">
        <v>0</v>
      </c>
      <c r="L1948" s="39">
        <f t="shared" ref="L1948:L1979" si="122">IFERROR(IF(OR(J1948=0,K1948=""),"",IF(E1948="Positivo",MIN(MAX(K1948/J1948,0),1.3),MIN(MAX(J1948/K1948,0),1.3))),"")</f>
        <v>0</v>
      </c>
      <c r="M1948" s="39">
        <f t="shared" ref="M1948:M1979" si="123">IFERROR(IF(OR(J1948=0,K1948=""),"",IF(E1948="Positivo",MAX(K1948/J1948,0),MAX(J1948/K1948,0))),"")</f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45107</v>
      </c>
      <c r="G1949">
        <v>2023</v>
      </c>
      <c r="H1949" t="s">
        <v>699</v>
      </c>
      <c r="I1949" t="s">
        <v>1512</v>
      </c>
      <c r="J1949">
        <v>100</v>
      </c>
      <c r="K1949">
        <v>275.42857142857002</v>
      </c>
      <c r="L1949" s="39">
        <f t="shared" si="122"/>
        <v>1.3</v>
      </c>
      <c r="M1949" s="39">
        <f t="shared" si="123"/>
        <v>2.7542857142857002</v>
      </c>
      <c r="N1949" t="s">
        <v>128</v>
      </c>
      <c r="O1949" t="s">
        <v>128</v>
      </c>
      <c r="P1949">
        <v>0</v>
      </c>
      <c r="Q1949">
        <v>0</v>
      </c>
      <c r="R1949" t="s">
        <v>2820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45199</v>
      </c>
      <c r="G1950">
        <v>2023</v>
      </c>
      <c r="H1950" t="s">
        <v>162</v>
      </c>
      <c r="I1950" t="s">
        <v>28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2821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100</v>
      </c>
      <c r="K1951">
        <v>349.71</v>
      </c>
      <c r="L1951" s="39">
        <f t="shared" si="122"/>
        <v>1.3</v>
      </c>
      <c r="M1951" s="39">
        <f t="shared" si="123"/>
        <v>3.4970999999999997</v>
      </c>
      <c r="N1951" t="s">
        <v>128</v>
      </c>
      <c r="O1951" t="s">
        <v>128</v>
      </c>
      <c r="P1951">
        <v>0</v>
      </c>
      <c r="Q1951">
        <v>0</v>
      </c>
      <c r="R1951" t="s">
        <v>1079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45382</v>
      </c>
      <c r="G1952">
        <v>2024</v>
      </c>
      <c r="H1952" t="s">
        <v>1516</v>
      </c>
      <c r="I1952" t="s">
        <v>729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45473</v>
      </c>
      <c r="G1953">
        <v>2024</v>
      </c>
      <c r="H1953" t="s">
        <v>699</v>
      </c>
      <c r="I1953" t="s">
        <v>729</v>
      </c>
      <c r="J1953">
        <v>100</v>
      </c>
      <c r="K1953">
        <v>118.6</v>
      </c>
      <c r="L1953" s="39">
        <f t="shared" si="122"/>
        <v>1.1859999999999999</v>
      </c>
      <c r="M1953" s="39">
        <f t="shared" si="123"/>
        <v>1.1859999999999999</v>
      </c>
      <c r="N1953" t="s">
        <v>128</v>
      </c>
      <c r="O1953" t="s">
        <v>128</v>
      </c>
      <c r="P1953">
        <v>0</v>
      </c>
      <c r="Q1953">
        <v>0</v>
      </c>
      <c r="R1953" t="s">
        <v>2823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45565</v>
      </c>
      <c r="G1954">
        <v>2024</v>
      </c>
      <c r="H1954" t="s">
        <v>162</v>
      </c>
      <c r="I1954" t="s">
        <v>30</v>
      </c>
      <c r="J1954">
        <v>100</v>
      </c>
      <c r="K1954">
        <v>0</v>
      </c>
      <c r="L1954" s="39">
        <f t="shared" si="122"/>
        <v>0</v>
      </c>
      <c r="M1954" s="39">
        <f t="shared" si="123"/>
        <v>0</v>
      </c>
      <c r="N1954" t="s">
        <v>128</v>
      </c>
      <c r="O1954" t="s">
        <v>128</v>
      </c>
      <c r="P1954">
        <v>0</v>
      </c>
      <c r="Q1954">
        <v>0</v>
      </c>
      <c r="R1954" t="s">
        <v>2824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192</v>
      </c>
      <c r="L1955" s="39">
        <f t="shared" si="122"/>
        <v>1.3</v>
      </c>
      <c r="M1955" s="39">
        <f t="shared" si="123"/>
        <v>1.92</v>
      </c>
      <c r="N1955" t="s">
        <v>128</v>
      </c>
      <c r="O1955" t="s">
        <v>128</v>
      </c>
      <c r="P1955">
        <v>0</v>
      </c>
      <c r="Q1955">
        <v>0</v>
      </c>
      <c r="R1955" t="s">
        <v>1080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45747</v>
      </c>
      <c r="G1956">
        <v>2025</v>
      </c>
      <c r="H1956" t="s">
        <v>1516</v>
      </c>
      <c r="I1956" t="s">
        <v>700</v>
      </c>
      <c r="J1956">
        <v>100</v>
      </c>
      <c r="K1956">
        <v>227.5</v>
      </c>
      <c r="L1956" s="39">
        <f t="shared" si="122"/>
        <v>1.3</v>
      </c>
      <c r="M1956" s="39">
        <f t="shared" si="123"/>
        <v>2.2749999999999999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45838</v>
      </c>
      <c r="G1957">
        <v>2025</v>
      </c>
      <c r="H1957" t="s">
        <v>699</v>
      </c>
      <c r="I1957" t="s">
        <v>700</v>
      </c>
      <c r="J1957">
        <v>100</v>
      </c>
      <c r="K1957">
        <v>96.86</v>
      </c>
      <c r="L1957" s="39">
        <f t="shared" si="122"/>
        <v>0.96860000000000002</v>
      </c>
      <c r="M1957" s="39">
        <f t="shared" si="123"/>
        <v>0.96860000000000002</v>
      </c>
      <c r="N1957" t="s">
        <v>128</v>
      </c>
      <c r="O1957" t="s">
        <v>128</v>
      </c>
      <c r="P1957">
        <v>0</v>
      </c>
      <c r="Q1957">
        <v>0</v>
      </c>
      <c r="R1957" t="s">
        <v>2826</v>
      </c>
    </row>
    <row r="1958" spans="1:18" hidden="1" x14ac:dyDescent="0.3">
      <c r="A1958">
        <v>394</v>
      </c>
      <c r="B1958" t="s">
        <v>1077</v>
      </c>
      <c r="C1958" t="s">
        <v>1078</v>
      </c>
      <c r="D1958" t="s">
        <v>27</v>
      </c>
      <c r="E1958" t="s">
        <v>22</v>
      </c>
      <c r="F1958" s="79">
        <v>45930</v>
      </c>
      <c r="G1958">
        <v>2025</v>
      </c>
      <c r="H1958" t="s">
        <v>162</v>
      </c>
      <c r="I1958" t="s">
        <v>32</v>
      </c>
      <c r="J1958">
        <v>100</v>
      </c>
      <c r="K1958">
        <v>91.71</v>
      </c>
      <c r="L1958" s="39">
        <f t="shared" si="122"/>
        <v>0.91709999999999992</v>
      </c>
      <c r="M1958" s="39">
        <f t="shared" si="123"/>
        <v>0.91709999999999992</v>
      </c>
      <c r="N1958" t="s">
        <v>128</v>
      </c>
      <c r="O1958" t="s">
        <v>128</v>
      </c>
      <c r="P1958">
        <v>0</v>
      </c>
      <c r="Q1958">
        <v>0</v>
      </c>
      <c r="R1958" t="s">
        <v>2827</v>
      </c>
    </row>
    <row r="1959" spans="1:18" hidden="1" x14ac:dyDescent="0.3">
      <c r="A1959">
        <v>394</v>
      </c>
      <c r="B1959" t="s">
        <v>1077</v>
      </c>
      <c r="C1959" t="s">
        <v>1078</v>
      </c>
      <c r="D1959" t="s">
        <v>27</v>
      </c>
      <c r="E1959" t="s">
        <v>22</v>
      </c>
      <c r="F1959" s="79">
        <v>46022</v>
      </c>
      <c r="G1959">
        <v>2025</v>
      </c>
      <c r="H1959" t="s">
        <v>23</v>
      </c>
      <c r="I1959" t="s">
        <v>32</v>
      </c>
      <c r="J1959">
        <v>100</v>
      </c>
      <c r="K1959">
        <v>137.5</v>
      </c>
      <c r="L1959" s="39">
        <f t="shared" si="122"/>
        <v>1.3</v>
      </c>
      <c r="M1959" s="39">
        <f t="shared" si="123"/>
        <v>1.375</v>
      </c>
      <c r="N1959" t="s">
        <v>128</v>
      </c>
      <c r="O1959" t="s">
        <v>128</v>
      </c>
      <c r="P1959">
        <v>0</v>
      </c>
      <c r="Q1959">
        <v>0</v>
      </c>
      <c r="R1959" t="s">
        <v>1081</v>
      </c>
    </row>
    <row r="1960" spans="1:18" hidden="1" x14ac:dyDescent="0.3">
      <c r="A1960">
        <v>395</v>
      </c>
      <c r="B1960" t="s">
        <v>1084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si="122"/>
        <v>0</v>
      </c>
      <c r="M1960" s="39">
        <f t="shared" si="123"/>
        <v>0</v>
      </c>
      <c r="N1960" t="s">
        <v>128</v>
      </c>
      <c r="O1960" t="s">
        <v>128</v>
      </c>
      <c r="P1960">
        <v>0</v>
      </c>
      <c r="Q1960">
        <v>0</v>
      </c>
      <c r="R1960" t="s">
        <v>2828</v>
      </c>
    </row>
    <row r="1961" spans="1:18" hidden="1" x14ac:dyDescent="0.3">
      <c r="A1961">
        <v>395</v>
      </c>
      <c r="B1961" t="s">
        <v>1082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294.11764705882001</v>
      </c>
      <c r="L1961" s="39">
        <f t="shared" si="122"/>
        <v>1.3</v>
      </c>
      <c r="M1961" s="39">
        <f t="shared" si="123"/>
        <v>2.9411764705882</v>
      </c>
      <c r="N1961" t="s">
        <v>128</v>
      </c>
      <c r="O1961" t="s">
        <v>128</v>
      </c>
      <c r="P1961">
        <v>0</v>
      </c>
      <c r="Q1961">
        <v>0</v>
      </c>
      <c r="R1961" t="s">
        <v>2829</v>
      </c>
    </row>
    <row r="1962" spans="1:18" hidden="1" x14ac:dyDescent="0.3">
      <c r="A1962">
        <v>395</v>
      </c>
      <c r="B1962" t="s">
        <v>1082</v>
      </c>
      <c r="C1962" t="s">
        <v>1078</v>
      </c>
      <c r="D1962" t="s">
        <v>27</v>
      </c>
      <c r="E1962" t="s">
        <v>22</v>
      </c>
      <c r="F1962" s="79">
        <v>45291</v>
      </c>
      <c r="G1962">
        <v>2023</v>
      </c>
      <c r="H1962" t="s">
        <v>23</v>
      </c>
      <c r="I1962" t="s">
        <v>28</v>
      </c>
      <c r="J1962">
        <v>100</v>
      </c>
      <c r="K1962">
        <v>266.67</v>
      </c>
      <c r="L1962" s="39">
        <f t="shared" si="122"/>
        <v>1.3</v>
      </c>
      <c r="M1962" s="39">
        <f t="shared" si="123"/>
        <v>2.6667000000000001</v>
      </c>
      <c r="N1962" t="s">
        <v>128</v>
      </c>
      <c r="O1962" t="s">
        <v>128</v>
      </c>
      <c r="P1962">
        <v>0</v>
      </c>
      <c r="Q1962">
        <v>0</v>
      </c>
      <c r="R1962" t="s">
        <v>1083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45382</v>
      </c>
      <c r="G1963">
        <v>2024</v>
      </c>
      <c r="H1963" t="s">
        <v>1516</v>
      </c>
      <c r="I1963" t="s">
        <v>729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45473</v>
      </c>
      <c r="G1964">
        <v>2024</v>
      </c>
      <c r="H1964" t="s">
        <v>699</v>
      </c>
      <c r="I1964" t="s">
        <v>729</v>
      </c>
      <c r="J1964">
        <v>100</v>
      </c>
      <c r="K1964">
        <v>110</v>
      </c>
      <c r="L1964" s="39">
        <f t="shared" si="122"/>
        <v>1.1000000000000001</v>
      </c>
      <c r="M1964" s="39">
        <f t="shared" si="123"/>
        <v>1.1000000000000001</v>
      </c>
      <c r="N1964" t="s">
        <v>128</v>
      </c>
      <c r="O1964" t="s">
        <v>128</v>
      </c>
      <c r="P1964">
        <v>0</v>
      </c>
      <c r="Q1964">
        <v>0</v>
      </c>
      <c r="R1964" t="s">
        <v>2831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45565</v>
      </c>
      <c r="G1965">
        <v>2024</v>
      </c>
      <c r="H1965" t="s">
        <v>162</v>
      </c>
      <c r="I1965" t="s">
        <v>30</v>
      </c>
      <c r="J1965">
        <v>100</v>
      </c>
      <c r="K1965">
        <v>0</v>
      </c>
      <c r="L1965" s="39">
        <f t="shared" si="122"/>
        <v>0</v>
      </c>
      <c r="M1965" s="39">
        <f t="shared" si="123"/>
        <v>0</v>
      </c>
      <c r="N1965" t="s">
        <v>128</v>
      </c>
      <c r="O1965" t="s">
        <v>128</v>
      </c>
      <c r="P1965">
        <v>0</v>
      </c>
      <c r="Q1965">
        <v>0</v>
      </c>
      <c r="R1965" t="s">
        <v>2832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45657</v>
      </c>
      <c r="G1966">
        <v>2024</v>
      </c>
      <c r="H1966" t="s">
        <v>23</v>
      </c>
      <c r="I1966" t="s">
        <v>30</v>
      </c>
      <c r="J1966">
        <v>100</v>
      </c>
      <c r="K1966">
        <v>148.88999999999999</v>
      </c>
      <c r="L1966" s="39">
        <f t="shared" si="122"/>
        <v>1.3</v>
      </c>
      <c r="M1966" s="39">
        <f t="shared" si="123"/>
        <v>1.4888999999999999</v>
      </c>
      <c r="N1966" t="s">
        <v>128</v>
      </c>
      <c r="O1966" t="s">
        <v>128</v>
      </c>
      <c r="P1966">
        <v>0</v>
      </c>
      <c r="Q1966">
        <v>0</v>
      </c>
      <c r="R1966" t="s">
        <v>1085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45747</v>
      </c>
      <c r="G1967">
        <v>2025</v>
      </c>
      <c r="H1967" t="s">
        <v>1516</v>
      </c>
      <c r="I1967" t="s">
        <v>700</v>
      </c>
      <c r="J1967">
        <v>100</v>
      </c>
      <c r="K1967">
        <v>291.43</v>
      </c>
      <c r="L1967" s="39">
        <f t="shared" si="122"/>
        <v>1.3</v>
      </c>
      <c r="M1967" s="39">
        <f t="shared" si="123"/>
        <v>2.9142999999999999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45838</v>
      </c>
      <c r="G1968">
        <v>2025</v>
      </c>
      <c r="H1968" t="s">
        <v>699</v>
      </c>
      <c r="I1968" t="s">
        <v>700</v>
      </c>
      <c r="J1968">
        <v>100</v>
      </c>
      <c r="K1968">
        <v>161.82</v>
      </c>
      <c r="L1968" s="39">
        <f t="shared" si="122"/>
        <v>1.3</v>
      </c>
      <c r="M1968" s="39">
        <f t="shared" si="123"/>
        <v>1.6181999999999999</v>
      </c>
      <c r="N1968" t="s">
        <v>128</v>
      </c>
      <c r="O1968" t="s">
        <v>128</v>
      </c>
      <c r="P1968">
        <v>0</v>
      </c>
      <c r="Q1968">
        <v>0</v>
      </c>
      <c r="R1968" t="s">
        <v>2834</v>
      </c>
    </row>
    <row r="1969" spans="1:18" hidden="1" x14ac:dyDescent="0.3">
      <c r="A1969">
        <v>395</v>
      </c>
      <c r="B1969" t="s">
        <v>1084</v>
      </c>
      <c r="C1969" t="s">
        <v>1078</v>
      </c>
      <c r="D1969" t="s">
        <v>27</v>
      </c>
      <c r="E1969" t="s">
        <v>22</v>
      </c>
      <c r="F1969" s="79">
        <v>45930</v>
      </c>
      <c r="G1969">
        <v>2025</v>
      </c>
      <c r="H1969" t="s">
        <v>162</v>
      </c>
      <c r="I1969" t="s">
        <v>32</v>
      </c>
      <c r="J1969">
        <v>100</v>
      </c>
      <c r="K1969">
        <v>187.27</v>
      </c>
      <c r="L1969" s="39">
        <f t="shared" si="122"/>
        <v>1.3</v>
      </c>
      <c r="M1969" s="39">
        <f t="shared" si="123"/>
        <v>1.8727</v>
      </c>
      <c r="N1969" t="s">
        <v>128</v>
      </c>
      <c r="O1969" t="s">
        <v>128</v>
      </c>
      <c r="P1969">
        <v>0</v>
      </c>
      <c r="Q1969">
        <v>0</v>
      </c>
      <c r="R1969" t="s">
        <v>2835</v>
      </c>
    </row>
    <row r="1970" spans="1:18" hidden="1" x14ac:dyDescent="0.3">
      <c r="A1970">
        <v>395</v>
      </c>
      <c r="B1970" t="s">
        <v>1084</v>
      </c>
      <c r="C1970" t="s">
        <v>1078</v>
      </c>
      <c r="D1970" t="s">
        <v>27</v>
      </c>
      <c r="E1970" t="s">
        <v>22</v>
      </c>
      <c r="F1970" s="79">
        <v>46022</v>
      </c>
      <c r="G1970">
        <v>2025</v>
      </c>
      <c r="H1970" t="s">
        <v>23</v>
      </c>
      <c r="I1970" t="s">
        <v>32</v>
      </c>
      <c r="J1970">
        <v>100</v>
      </c>
      <c r="K1970">
        <v>177.14</v>
      </c>
      <c r="L1970" s="39">
        <f t="shared" si="122"/>
        <v>1.3</v>
      </c>
      <c r="M1970" s="39">
        <f t="shared" si="123"/>
        <v>1.7713999999999999</v>
      </c>
      <c r="N1970" t="s">
        <v>128</v>
      </c>
      <c r="O1970" t="s">
        <v>128</v>
      </c>
      <c r="P1970">
        <v>0</v>
      </c>
      <c r="Q1970">
        <v>0</v>
      </c>
      <c r="R1970" t="s">
        <v>1086</v>
      </c>
    </row>
    <row r="1971" spans="1:18" hidden="1" x14ac:dyDescent="0.3">
      <c r="A1971">
        <v>396</v>
      </c>
      <c r="B1971" t="s">
        <v>1087</v>
      </c>
      <c r="C1971" t="s">
        <v>1066</v>
      </c>
      <c r="D1971" t="s">
        <v>27</v>
      </c>
      <c r="E1971" t="s">
        <v>22</v>
      </c>
      <c r="F1971" s="79">
        <v>45291</v>
      </c>
      <c r="G1971">
        <v>2023</v>
      </c>
      <c r="H1971" t="s">
        <v>23</v>
      </c>
      <c r="I1971" t="s">
        <v>28</v>
      </c>
      <c r="J1971">
        <v>80</v>
      </c>
      <c r="K1971">
        <v>88.89</v>
      </c>
      <c r="L1971" s="39">
        <f t="shared" si="122"/>
        <v>1.1111249999999999</v>
      </c>
      <c r="M1971" s="39">
        <f t="shared" si="123"/>
        <v>1.1111249999999999</v>
      </c>
      <c r="N1971" t="s">
        <v>128</v>
      </c>
      <c r="O1971" t="s">
        <v>128</v>
      </c>
      <c r="P1971">
        <v>0</v>
      </c>
      <c r="Q1971">
        <v>0</v>
      </c>
      <c r="R1971" t="s">
        <v>1088</v>
      </c>
    </row>
    <row r="1972" spans="1:18" hidden="1" x14ac:dyDescent="0.3">
      <c r="A1972">
        <v>396</v>
      </c>
      <c r="B1972" t="s">
        <v>1087</v>
      </c>
      <c r="C1972" t="s">
        <v>1089</v>
      </c>
      <c r="D1972" t="s">
        <v>27</v>
      </c>
      <c r="E1972" t="s">
        <v>22</v>
      </c>
      <c r="F1972" s="79">
        <v>45473</v>
      </c>
      <c r="G1972">
        <v>2024</v>
      </c>
      <c r="H1972" t="s">
        <v>699</v>
      </c>
      <c r="I1972" t="s">
        <v>729</v>
      </c>
      <c r="J1972">
        <v>80</v>
      </c>
      <c r="K1972">
        <v>88.1</v>
      </c>
      <c r="L1972" s="39">
        <f t="shared" si="122"/>
        <v>1.1012499999999998</v>
      </c>
      <c r="M1972" s="39">
        <f t="shared" si="123"/>
        <v>1.1012499999999998</v>
      </c>
      <c r="N1972" t="s">
        <v>128</v>
      </c>
      <c r="O1972" t="s">
        <v>136</v>
      </c>
      <c r="P1972">
        <v>1</v>
      </c>
      <c r="Q1972">
        <v>1</v>
      </c>
      <c r="R1972" t="s">
        <v>1090</v>
      </c>
    </row>
    <row r="1973" spans="1:18" hidden="1" x14ac:dyDescent="0.3">
      <c r="A1973">
        <v>397</v>
      </c>
      <c r="B1973" t="s">
        <v>1091</v>
      </c>
      <c r="C1973" t="s">
        <v>1066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80</v>
      </c>
      <c r="K1973">
        <v>91.071428571428996</v>
      </c>
      <c r="L1973" s="39">
        <f t="shared" si="122"/>
        <v>1.1383928571428625</v>
      </c>
      <c r="M1973" s="39">
        <f t="shared" si="123"/>
        <v>1.1383928571428625</v>
      </c>
      <c r="N1973" t="s">
        <v>25</v>
      </c>
      <c r="O1973" t="s">
        <v>25</v>
      </c>
      <c r="P1973">
        <v>0</v>
      </c>
      <c r="Q1973">
        <v>0</v>
      </c>
      <c r="R1973" t="s">
        <v>2836</v>
      </c>
    </row>
    <row r="1974" spans="1:18" hidden="1" x14ac:dyDescent="0.3">
      <c r="A1974">
        <v>397</v>
      </c>
      <c r="B1974" t="s">
        <v>1091</v>
      </c>
      <c r="C1974" t="s">
        <v>1066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80</v>
      </c>
      <c r="K1974">
        <v>92.96</v>
      </c>
      <c r="L1974" s="39">
        <f t="shared" si="122"/>
        <v>1.1619999999999999</v>
      </c>
      <c r="M1974" s="39">
        <f t="shared" si="123"/>
        <v>1.1619999999999999</v>
      </c>
      <c r="N1974" t="s">
        <v>25</v>
      </c>
      <c r="O1974" t="s">
        <v>25</v>
      </c>
      <c r="P1974">
        <v>0</v>
      </c>
      <c r="Q1974">
        <v>0</v>
      </c>
      <c r="R1974" t="s">
        <v>1092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45473</v>
      </c>
      <c r="G1975">
        <v>2024</v>
      </c>
      <c r="H1975" t="s">
        <v>699</v>
      </c>
      <c r="I1975" t="s">
        <v>729</v>
      </c>
      <c r="J1975">
        <v>80</v>
      </c>
      <c r="K1975">
        <v>88.08</v>
      </c>
      <c r="L1975" s="39">
        <f t="shared" si="122"/>
        <v>1.101</v>
      </c>
      <c r="M1975" s="39">
        <f t="shared" si="123"/>
        <v>1.101</v>
      </c>
      <c r="N1975" t="s">
        <v>25</v>
      </c>
      <c r="O1975" t="s">
        <v>25</v>
      </c>
      <c r="P1975">
        <v>1</v>
      </c>
      <c r="Q1975">
        <v>1</v>
      </c>
      <c r="R1975" t="s">
        <v>2837</v>
      </c>
    </row>
    <row r="1976" spans="1:18" hidden="1" x14ac:dyDescent="0.3">
      <c r="A1976">
        <v>397</v>
      </c>
      <c r="B1976" t="s">
        <v>1091</v>
      </c>
      <c r="C1976" t="s">
        <v>1089</v>
      </c>
      <c r="D1976" t="s">
        <v>27</v>
      </c>
      <c r="E1976" t="s">
        <v>22</v>
      </c>
      <c r="F1976" s="79">
        <v>45657</v>
      </c>
      <c r="G1976">
        <v>2024</v>
      </c>
      <c r="H1976" t="s">
        <v>23</v>
      </c>
      <c r="I1976" t="s">
        <v>30</v>
      </c>
      <c r="J1976">
        <v>80</v>
      </c>
      <c r="K1976">
        <v>94.88</v>
      </c>
      <c r="L1976" s="39">
        <f t="shared" si="122"/>
        <v>1.1859999999999999</v>
      </c>
      <c r="M1976" s="39">
        <f t="shared" si="123"/>
        <v>1.1859999999999999</v>
      </c>
      <c r="N1976" t="s">
        <v>25</v>
      </c>
      <c r="O1976" t="s">
        <v>25</v>
      </c>
      <c r="P1976">
        <v>1</v>
      </c>
      <c r="Q1976">
        <v>1</v>
      </c>
      <c r="R1976" t="s">
        <v>1093</v>
      </c>
    </row>
    <row r="1977" spans="1:18" hidden="1" x14ac:dyDescent="0.3">
      <c r="A1977">
        <v>397</v>
      </c>
      <c r="B1977" t="s">
        <v>1091</v>
      </c>
      <c r="C1977" t="s">
        <v>1089</v>
      </c>
      <c r="D1977" t="s">
        <v>27</v>
      </c>
      <c r="E1977" t="s">
        <v>22</v>
      </c>
      <c r="F1977" s="79">
        <v>45838</v>
      </c>
      <c r="G1977">
        <v>2025</v>
      </c>
      <c r="H1977" t="s">
        <v>699</v>
      </c>
      <c r="I1977" t="s">
        <v>700</v>
      </c>
      <c r="J1977">
        <v>90</v>
      </c>
      <c r="K1977">
        <v>95.26</v>
      </c>
      <c r="L1977" s="39">
        <f t="shared" si="122"/>
        <v>1.0584444444444445</v>
      </c>
      <c r="M1977" s="39">
        <f t="shared" si="123"/>
        <v>1.0584444444444445</v>
      </c>
      <c r="N1977" t="s">
        <v>25</v>
      </c>
      <c r="O1977" t="s">
        <v>25</v>
      </c>
      <c r="P1977">
        <v>1</v>
      </c>
      <c r="Q1977">
        <v>1</v>
      </c>
      <c r="R1977" t="s">
        <v>2838</v>
      </c>
    </row>
    <row r="1978" spans="1:18" hidden="1" x14ac:dyDescent="0.3">
      <c r="A1978">
        <v>397</v>
      </c>
      <c r="B1978" t="s">
        <v>1094</v>
      </c>
      <c r="C1978" t="s">
        <v>1089</v>
      </c>
      <c r="D1978" t="s">
        <v>21</v>
      </c>
      <c r="E1978" t="s">
        <v>22</v>
      </c>
      <c r="F1978" s="79">
        <v>46022</v>
      </c>
      <c r="G1978">
        <v>2025</v>
      </c>
      <c r="H1978" t="s">
        <v>23</v>
      </c>
      <c r="I1978" t="s">
        <v>32</v>
      </c>
      <c r="J1978">
        <v>90</v>
      </c>
      <c r="K1978">
        <v>96.14</v>
      </c>
      <c r="L1978" s="39">
        <f t="shared" si="122"/>
        <v>1.0682222222222222</v>
      </c>
      <c r="M1978" s="39">
        <f t="shared" si="123"/>
        <v>1.0682222222222222</v>
      </c>
      <c r="N1978" t="s">
        <v>25</v>
      </c>
      <c r="O1978" t="s">
        <v>25</v>
      </c>
      <c r="P1978">
        <v>0</v>
      </c>
      <c r="Q1978">
        <v>1</v>
      </c>
      <c r="R1978" t="s">
        <v>1095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45107</v>
      </c>
      <c r="G1979">
        <v>2023</v>
      </c>
      <c r="H1979" t="s">
        <v>699</v>
      </c>
      <c r="I1979" t="s">
        <v>1512</v>
      </c>
      <c r="J1979">
        <v>100</v>
      </c>
      <c r="K1979">
        <v>256.8</v>
      </c>
      <c r="L1979" s="39">
        <f t="shared" si="122"/>
        <v>1.3</v>
      </c>
      <c r="M1979" s="39">
        <f t="shared" si="123"/>
        <v>2.5680000000000001</v>
      </c>
      <c r="N1979" t="s">
        <v>128</v>
      </c>
      <c r="O1979" t="s">
        <v>128</v>
      </c>
      <c r="P1979">
        <v>0</v>
      </c>
      <c r="Q1979">
        <v>0</v>
      </c>
      <c r="R1979" t="s">
        <v>2839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45291</v>
      </c>
      <c r="G1980">
        <v>2023</v>
      </c>
      <c r="H1980" t="s">
        <v>23</v>
      </c>
      <c r="I1980" t="s">
        <v>28</v>
      </c>
      <c r="J1980">
        <v>100</v>
      </c>
      <c r="K1980">
        <v>234.4</v>
      </c>
      <c r="L1980" s="39">
        <f t="shared" ref="L1980:L2002" si="124">IFERROR(IF(OR(J1980=0,K1980=""),"",IF(E1980="Positivo",MIN(MAX(K1980/J1980,0),1.3),MIN(MAX(J1980/K1980,0),1.3))),"")</f>
        <v>1.3</v>
      </c>
      <c r="M1980" s="39">
        <f t="shared" ref="M1980:M2002" si="125">IFERROR(IF(OR(J1980=0,K1980=""),"",IF(E1980="Positivo",MAX(K1980/J1980,0),MAX(J1980/K1980,0))),"")</f>
        <v>2.3439999999999999</v>
      </c>
      <c r="N1980" t="s">
        <v>128</v>
      </c>
      <c r="O1980" t="s">
        <v>128</v>
      </c>
      <c r="P1980">
        <v>0</v>
      </c>
      <c r="Q1980">
        <v>0</v>
      </c>
      <c r="R1980" t="s">
        <v>1098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45473</v>
      </c>
      <c r="G1981">
        <v>2024</v>
      </c>
      <c r="H1981" t="s">
        <v>699</v>
      </c>
      <c r="I1981" t="s">
        <v>729</v>
      </c>
      <c r="J1981">
        <v>100</v>
      </c>
      <c r="K1981">
        <v>283.92</v>
      </c>
      <c r="L1981" s="39">
        <f t="shared" si="124"/>
        <v>1.3</v>
      </c>
      <c r="M1981" s="39">
        <f t="shared" si="125"/>
        <v>2.8391999999999999</v>
      </c>
      <c r="N1981" t="s">
        <v>128</v>
      </c>
      <c r="O1981" t="s">
        <v>128</v>
      </c>
      <c r="P1981">
        <v>0</v>
      </c>
      <c r="Q1981">
        <v>0</v>
      </c>
      <c r="R1981" t="s">
        <v>2840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27</v>
      </c>
      <c r="E1982" t="s">
        <v>22</v>
      </c>
      <c r="F1982" s="79">
        <v>45657</v>
      </c>
      <c r="G1982">
        <v>2024</v>
      </c>
      <c r="H1982" t="s">
        <v>23</v>
      </c>
      <c r="I1982" t="s">
        <v>30</v>
      </c>
      <c r="J1982">
        <v>100</v>
      </c>
      <c r="K1982">
        <v>160</v>
      </c>
      <c r="L1982" s="39">
        <f t="shared" si="124"/>
        <v>1.3</v>
      </c>
      <c r="M1982" s="39">
        <f t="shared" si="125"/>
        <v>1.6</v>
      </c>
      <c r="N1982" t="s">
        <v>128</v>
      </c>
      <c r="O1982" t="s">
        <v>128</v>
      </c>
      <c r="P1982">
        <v>0</v>
      </c>
      <c r="Q1982">
        <v>0</v>
      </c>
      <c r="R1982" t="s">
        <v>1099</v>
      </c>
    </row>
    <row r="1983" spans="1:18" hidden="1" x14ac:dyDescent="0.3">
      <c r="A1983">
        <v>398</v>
      </c>
      <c r="B1983" t="s">
        <v>1096</v>
      </c>
      <c r="C1983" t="s">
        <v>1097</v>
      </c>
      <c r="D1983" t="s">
        <v>27</v>
      </c>
      <c r="E1983" t="s">
        <v>22</v>
      </c>
      <c r="F1983" s="79">
        <v>45838</v>
      </c>
      <c r="G1983">
        <v>2025</v>
      </c>
      <c r="H1983" t="s">
        <v>699</v>
      </c>
      <c r="I1983" t="s">
        <v>700</v>
      </c>
      <c r="J1983">
        <v>100</v>
      </c>
      <c r="K1983">
        <v>159.5</v>
      </c>
      <c r="L1983" s="39">
        <f t="shared" si="124"/>
        <v>1.3</v>
      </c>
      <c r="M1983" s="39">
        <f t="shared" si="125"/>
        <v>1.595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398</v>
      </c>
      <c r="B1984" t="s">
        <v>1096</v>
      </c>
      <c r="C1984" t="s">
        <v>1097</v>
      </c>
      <c r="D1984" t="s">
        <v>21</v>
      </c>
      <c r="E1984" t="s">
        <v>22</v>
      </c>
      <c r="F1984" s="79">
        <v>46022</v>
      </c>
      <c r="G1984">
        <v>2025</v>
      </c>
      <c r="H1984" t="s">
        <v>23</v>
      </c>
      <c r="I1984" t="s">
        <v>32</v>
      </c>
      <c r="J1984">
        <v>100</v>
      </c>
      <c r="K1984">
        <v>168.71</v>
      </c>
      <c r="L1984" s="39">
        <f t="shared" si="124"/>
        <v>1.3</v>
      </c>
      <c r="M1984" s="39">
        <f t="shared" si="125"/>
        <v>1.6871</v>
      </c>
      <c r="N1984" t="s">
        <v>128</v>
      </c>
      <c r="O1984" t="s">
        <v>128</v>
      </c>
      <c r="P1984">
        <v>0</v>
      </c>
      <c r="Q1984">
        <v>0</v>
      </c>
      <c r="R1984" t="s">
        <v>1100</v>
      </c>
    </row>
    <row r="1985" spans="1:18" hidden="1" x14ac:dyDescent="0.3">
      <c r="A1985">
        <v>399</v>
      </c>
      <c r="B1985" t="s">
        <v>2842</v>
      </c>
      <c r="C1985" t="s">
        <v>1097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100</v>
      </c>
      <c r="K1985">
        <v>117.8</v>
      </c>
      <c r="L1985" s="39">
        <f t="shared" si="124"/>
        <v>1.1779999999999999</v>
      </c>
      <c r="M1985" s="39">
        <f t="shared" si="125"/>
        <v>1.1779999999999999</v>
      </c>
      <c r="N1985" t="s">
        <v>128</v>
      </c>
      <c r="O1985" t="s">
        <v>128</v>
      </c>
      <c r="P1985">
        <v>0</v>
      </c>
      <c r="Q1985">
        <v>0</v>
      </c>
      <c r="R1985" t="s">
        <v>2843</v>
      </c>
    </row>
    <row r="1986" spans="1:18" hidden="1" x14ac:dyDescent="0.3">
      <c r="A1986">
        <v>399</v>
      </c>
      <c r="B1986" t="s">
        <v>2842</v>
      </c>
      <c r="C1986" t="s">
        <v>1097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100</v>
      </c>
      <c r="K1986">
        <v>149</v>
      </c>
      <c r="L1986" s="39">
        <f t="shared" si="124"/>
        <v>1.3</v>
      </c>
      <c r="M1986" s="39">
        <f t="shared" si="125"/>
        <v>1.49</v>
      </c>
      <c r="N1986" t="s">
        <v>128</v>
      </c>
      <c r="O1986" t="s">
        <v>128</v>
      </c>
      <c r="P1986">
        <v>0</v>
      </c>
      <c r="Q1986">
        <v>0</v>
      </c>
      <c r="R1986" t="s">
        <v>1102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100</v>
      </c>
      <c r="K1987">
        <v>111.36</v>
      </c>
      <c r="L1987" s="39">
        <f t="shared" si="124"/>
        <v>1.1135999999999999</v>
      </c>
      <c r="M1987" s="39">
        <f t="shared" si="125"/>
        <v>1.1135999999999999</v>
      </c>
      <c r="N1987" t="s">
        <v>128</v>
      </c>
      <c r="O1987" t="s">
        <v>128</v>
      </c>
      <c r="P1987">
        <v>0</v>
      </c>
      <c r="Q1987">
        <v>0</v>
      </c>
      <c r="R1987" t="s">
        <v>2844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100</v>
      </c>
      <c r="K1988">
        <v>111.36</v>
      </c>
      <c r="L1988" s="39">
        <f t="shared" si="124"/>
        <v>1.1135999999999999</v>
      </c>
      <c r="M1988" s="39">
        <f t="shared" si="125"/>
        <v>1.1135999999999999</v>
      </c>
      <c r="N1988" t="s">
        <v>128</v>
      </c>
      <c r="O1988" t="s">
        <v>128</v>
      </c>
      <c r="P1988">
        <v>0</v>
      </c>
      <c r="Q1988">
        <v>0</v>
      </c>
      <c r="R1988" t="s">
        <v>1103</v>
      </c>
    </row>
    <row r="1989" spans="1:18" hidden="1" x14ac:dyDescent="0.3">
      <c r="A1989">
        <v>399</v>
      </c>
      <c r="B1989" t="s">
        <v>1101</v>
      </c>
      <c r="C1989" t="s">
        <v>1097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102.93</v>
      </c>
      <c r="L1989" s="39">
        <f t="shared" si="124"/>
        <v>1.0293000000000001</v>
      </c>
      <c r="M1989" s="39">
        <f t="shared" si="125"/>
        <v>1.0293000000000001</v>
      </c>
      <c r="N1989" t="s">
        <v>128</v>
      </c>
      <c r="O1989" t="s">
        <v>128</v>
      </c>
      <c r="P1989">
        <v>0</v>
      </c>
      <c r="Q1989">
        <v>0</v>
      </c>
      <c r="R1989" t="s">
        <v>2845</v>
      </c>
    </row>
    <row r="1990" spans="1:18" hidden="1" x14ac:dyDescent="0.3">
      <c r="A1990">
        <v>399</v>
      </c>
      <c r="B1990" t="s">
        <v>1101</v>
      </c>
      <c r="C1990" t="s">
        <v>1097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100</v>
      </c>
      <c r="K1990">
        <v>106.13</v>
      </c>
      <c r="L1990" s="39">
        <f t="shared" si="124"/>
        <v>1.0612999999999999</v>
      </c>
      <c r="M1990" s="39">
        <f t="shared" si="125"/>
        <v>1.0612999999999999</v>
      </c>
      <c r="N1990" t="s">
        <v>128</v>
      </c>
      <c r="O1990" t="s">
        <v>128</v>
      </c>
      <c r="P1990">
        <v>0</v>
      </c>
      <c r="Q1990">
        <v>0</v>
      </c>
      <c r="R1990" t="s">
        <v>1104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220</v>
      </c>
      <c r="L1991" s="39">
        <f t="shared" si="124"/>
        <v>1.3</v>
      </c>
      <c r="M1991" s="39">
        <f t="shared" si="125"/>
        <v>2.2000000000000002</v>
      </c>
      <c r="N1991" t="s">
        <v>128</v>
      </c>
      <c r="O1991" t="s">
        <v>128</v>
      </c>
      <c r="P1991">
        <v>0</v>
      </c>
      <c r="Q1991">
        <v>0</v>
      </c>
      <c r="R1991" t="s">
        <v>2846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282.86</v>
      </c>
      <c r="L1992" s="39">
        <f t="shared" si="124"/>
        <v>1.3</v>
      </c>
      <c r="M1992" s="39">
        <f t="shared" si="125"/>
        <v>2.8286000000000002</v>
      </c>
      <c r="N1992" t="s">
        <v>128</v>
      </c>
      <c r="O1992" t="s">
        <v>128</v>
      </c>
      <c r="P1992">
        <v>0</v>
      </c>
      <c r="Q1992">
        <v>0</v>
      </c>
      <c r="R1992" t="s">
        <v>1106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270.45</v>
      </c>
      <c r="L1993" s="39">
        <f t="shared" si="124"/>
        <v>1.3</v>
      </c>
      <c r="M1993" s="39">
        <f t="shared" si="125"/>
        <v>2.7044999999999999</v>
      </c>
      <c r="N1993" t="s">
        <v>128</v>
      </c>
      <c r="O1993" t="s">
        <v>128</v>
      </c>
      <c r="P1993">
        <v>0</v>
      </c>
      <c r="Q1993">
        <v>0</v>
      </c>
      <c r="R1993" t="s">
        <v>2847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397.73</v>
      </c>
      <c r="L1994" s="39">
        <f t="shared" si="124"/>
        <v>1.3</v>
      </c>
      <c r="M1994" s="39">
        <f t="shared" si="125"/>
        <v>3.9773000000000001</v>
      </c>
      <c r="N1994" t="s">
        <v>128</v>
      </c>
      <c r="O1994" t="s">
        <v>128</v>
      </c>
      <c r="P1994">
        <v>0</v>
      </c>
      <c r="Q1994">
        <v>0</v>
      </c>
      <c r="R1994" t="s">
        <v>1107</v>
      </c>
    </row>
    <row r="1995" spans="1:18" hidden="1" x14ac:dyDescent="0.3">
      <c r="A1995">
        <v>400</v>
      </c>
      <c r="B1995" t="s">
        <v>1105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123</v>
      </c>
      <c r="L1995" s="39">
        <f t="shared" si="124"/>
        <v>1.23</v>
      </c>
      <c r="M1995" s="39">
        <f t="shared" si="125"/>
        <v>1.23</v>
      </c>
      <c r="N1995" t="s">
        <v>128</v>
      </c>
      <c r="O1995" t="s">
        <v>128</v>
      </c>
      <c r="P1995">
        <v>0</v>
      </c>
      <c r="Q1995">
        <v>0</v>
      </c>
      <c r="R1995" t="s">
        <v>2848</v>
      </c>
    </row>
    <row r="1996" spans="1:18" hidden="1" x14ac:dyDescent="0.3">
      <c r="A1996">
        <v>400</v>
      </c>
      <c r="B1996" t="s">
        <v>1105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127.14</v>
      </c>
      <c r="L1996" s="39">
        <f t="shared" si="124"/>
        <v>1.2714000000000001</v>
      </c>
      <c r="M1996" s="39">
        <f t="shared" si="125"/>
        <v>1.2714000000000001</v>
      </c>
      <c r="N1996" t="s">
        <v>128</v>
      </c>
      <c r="O1996" t="s">
        <v>128</v>
      </c>
      <c r="P1996">
        <v>0</v>
      </c>
      <c r="Q1996">
        <v>0</v>
      </c>
      <c r="R1996" t="s">
        <v>1108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90</v>
      </c>
      <c r="K1997">
        <v>87.5</v>
      </c>
      <c r="L1997" s="39">
        <f t="shared" si="124"/>
        <v>0.97222222222222221</v>
      </c>
      <c r="M1997" s="39">
        <f t="shared" si="125"/>
        <v>0.97222222222222221</v>
      </c>
      <c r="N1997" t="s">
        <v>128</v>
      </c>
      <c r="O1997" t="s">
        <v>128</v>
      </c>
      <c r="P1997">
        <v>0</v>
      </c>
      <c r="Q1997">
        <v>0</v>
      </c>
      <c r="R1997" t="s">
        <v>2849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90</v>
      </c>
      <c r="K1998">
        <v>125</v>
      </c>
      <c r="L1998" s="39">
        <f t="shared" si="124"/>
        <v>1.3</v>
      </c>
      <c r="M1998" s="39">
        <f t="shared" si="125"/>
        <v>1.3888888888888888</v>
      </c>
      <c r="N1998" t="s">
        <v>128</v>
      </c>
      <c r="O1998" t="s">
        <v>128</v>
      </c>
      <c r="P1998">
        <v>0</v>
      </c>
      <c r="Q1998">
        <v>0</v>
      </c>
      <c r="R1998" t="s">
        <v>1111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90</v>
      </c>
      <c r="K1999">
        <v>112.5</v>
      </c>
      <c r="L1999" s="39">
        <f t="shared" si="124"/>
        <v>1.25</v>
      </c>
      <c r="M1999" s="39">
        <f t="shared" si="125"/>
        <v>1.25</v>
      </c>
      <c r="N1999" t="s">
        <v>128</v>
      </c>
      <c r="O1999" t="s">
        <v>128</v>
      </c>
      <c r="P1999">
        <v>0</v>
      </c>
      <c r="Q1999">
        <v>0</v>
      </c>
      <c r="R1999" t="s">
        <v>2850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90</v>
      </c>
      <c r="K2000">
        <v>100</v>
      </c>
      <c r="L2000" s="39">
        <f t="shared" si="124"/>
        <v>1.1111111111111112</v>
      </c>
      <c r="M2000" s="39">
        <f t="shared" si="125"/>
        <v>1.1111111111111112</v>
      </c>
      <c r="N2000" t="s">
        <v>128</v>
      </c>
      <c r="O2000" t="s">
        <v>128</v>
      </c>
      <c r="P2000">
        <v>0</v>
      </c>
      <c r="Q2000">
        <v>0</v>
      </c>
      <c r="R2000" t="s">
        <v>1112</v>
      </c>
    </row>
    <row r="2001" spans="1:19" hidden="1" x14ac:dyDescent="0.3">
      <c r="A2001">
        <v>401</v>
      </c>
      <c r="B2001" t="s">
        <v>1109</v>
      </c>
      <c r="C2001" t="s">
        <v>1110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100</v>
      </c>
      <c r="L2001" s="39">
        <f t="shared" si="124"/>
        <v>1</v>
      </c>
      <c r="M2001" s="39">
        <f t="shared" si="125"/>
        <v>1</v>
      </c>
      <c r="N2001" t="s">
        <v>128</v>
      </c>
      <c r="O2001" t="s">
        <v>128</v>
      </c>
      <c r="P2001">
        <v>0</v>
      </c>
      <c r="Q2001">
        <v>0</v>
      </c>
      <c r="R2001" t="s">
        <v>2851</v>
      </c>
    </row>
    <row r="2002" spans="1:19" hidden="1" x14ac:dyDescent="0.3">
      <c r="A2002">
        <v>401</v>
      </c>
      <c r="B2002" t="s">
        <v>1109</v>
      </c>
      <c r="C2002" t="s">
        <v>1110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100</v>
      </c>
      <c r="L2002" s="39">
        <f t="shared" si="124"/>
        <v>1</v>
      </c>
      <c r="M2002" s="39">
        <f t="shared" si="125"/>
        <v>1</v>
      </c>
      <c r="N2002" t="s">
        <v>128</v>
      </c>
      <c r="O2002" t="s">
        <v>128</v>
      </c>
      <c r="P2002">
        <v>0</v>
      </c>
      <c r="Q2002">
        <v>0</v>
      </c>
      <c r="R2002" t="s">
        <v>1113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K2003">
        <v>21000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1115</v>
      </c>
    </row>
    <row r="2004" spans="1:19" hidden="1" x14ac:dyDescent="0.3">
      <c r="A2004">
        <v>402</v>
      </c>
      <c r="B2004" t="s">
        <v>1114</v>
      </c>
      <c r="C2004" t="s">
        <v>1110</v>
      </c>
      <c r="D2004" t="s">
        <v>71</v>
      </c>
      <c r="E2004" t="s">
        <v>22</v>
      </c>
      <c r="F2004" s="79">
        <v>45657</v>
      </c>
      <c r="G2004">
        <v>2024</v>
      </c>
      <c r="H2004" t="s">
        <v>23</v>
      </c>
      <c r="I2004" t="s">
        <v>30</v>
      </c>
      <c r="J2004">
        <v>3</v>
      </c>
      <c r="K2004">
        <v>4.76</v>
      </c>
      <c r="L2004" s="39">
        <f>IFERROR(IF(OR(J2004=0,K2004=""),"",IF(E2004="Positivo",MIN(MAX(K2004/J2004,0),1.3),MIN(MAX(J2004/K2004,0),1.3))),"")</f>
        <v>1.3</v>
      </c>
      <c r="M2004" s="39">
        <f>IFERROR(IF(OR(J2004=0,K2004=""),"",IF(E2004="Positivo",MAX(K2004/J2004,0),MAX(J2004/K2004,0))),"")</f>
        <v>1.5866666666666667</v>
      </c>
      <c r="P2004">
        <v>0</v>
      </c>
      <c r="Q2004">
        <v>0</v>
      </c>
      <c r="R2004" t="s">
        <v>1116</v>
      </c>
    </row>
    <row r="2005" spans="1:19" hidden="1" x14ac:dyDescent="0.3">
      <c r="A2005">
        <v>402</v>
      </c>
      <c r="B2005" t="s">
        <v>1114</v>
      </c>
      <c r="C2005" t="s">
        <v>1110</v>
      </c>
      <c r="D2005" t="s">
        <v>71</v>
      </c>
      <c r="E2005" t="s">
        <v>22</v>
      </c>
      <c r="F2005" s="79">
        <v>46022</v>
      </c>
      <c r="G2005">
        <v>2025</v>
      </c>
      <c r="H2005" t="s">
        <v>23</v>
      </c>
      <c r="I2005" t="s">
        <v>32</v>
      </c>
      <c r="K2005">
        <v>22.73</v>
      </c>
      <c r="L2005" s="39"/>
      <c r="M2005" s="39"/>
      <c r="N2005" t="s">
        <v>128</v>
      </c>
      <c r="O2005" t="s">
        <v>128</v>
      </c>
      <c r="P2005">
        <v>0</v>
      </c>
      <c r="Q2005">
        <v>0</v>
      </c>
      <c r="R2005" t="s">
        <v>1117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45107</v>
      </c>
      <c r="G2006">
        <v>2023</v>
      </c>
      <c r="H2006" t="s">
        <v>699</v>
      </c>
      <c r="I2006" t="s">
        <v>1512</v>
      </c>
      <c r="K2006">
        <v>14370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2852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45291</v>
      </c>
      <c r="G2007">
        <v>2023</v>
      </c>
      <c r="H2007" t="s">
        <v>23</v>
      </c>
      <c r="I2007" t="s">
        <v>28</v>
      </c>
      <c r="K2007">
        <v>28639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1119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45473</v>
      </c>
      <c r="G2008">
        <v>2024</v>
      </c>
      <c r="H2008" t="s">
        <v>699</v>
      </c>
      <c r="I2008" t="s">
        <v>729</v>
      </c>
      <c r="K2008">
        <v>14923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2853</v>
      </c>
    </row>
    <row r="2009" spans="1:19" hidden="1" x14ac:dyDescent="0.3">
      <c r="A2009">
        <v>403</v>
      </c>
      <c r="B2009" t="s">
        <v>1118</v>
      </c>
      <c r="C2009" t="s">
        <v>1110</v>
      </c>
      <c r="D2009" t="s">
        <v>27</v>
      </c>
      <c r="E2009" t="s">
        <v>22</v>
      </c>
      <c r="F2009" s="79">
        <v>45657</v>
      </c>
      <c r="G2009">
        <v>2024</v>
      </c>
      <c r="H2009" t="s">
        <v>23</v>
      </c>
      <c r="I2009" t="s">
        <v>30</v>
      </c>
      <c r="K2009">
        <v>14495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1120</v>
      </c>
    </row>
    <row r="2010" spans="1:19" hidden="1" x14ac:dyDescent="0.3">
      <c r="A2010">
        <v>403</v>
      </c>
      <c r="B2010" t="s">
        <v>1118</v>
      </c>
      <c r="C2010" t="s">
        <v>1110</v>
      </c>
      <c r="D2010" t="s">
        <v>27</v>
      </c>
      <c r="E2010" t="s">
        <v>22</v>
      </c>
      <c r="F2010" s="79">
        <v>45838</v>
      </c>
      <c r="G2010">
        <v>2025</v>
      </c>
      <c r="H2010" t="s">
        <v>699</v>
      </c>
      <c r="I2010" t="s">
        <v>700</v>
      </c>
      <c r="K2010">
        <v>14410</v>
      </c>
      <c r="L2010" s="39"/>
      <c r="M2010" s="39"/>
      <c r="N2010" t="s">
        <v>263</v>
      </c>
      <c r="O2010" t="s">
        <v>128</v>
      </c>
      <c r="P2010">
        <v>0</v>
      </c>
      <c r="Q2010">
        <v>0</v>
      </c>
      <c r="R2010" t="s">
        <v>2854</v>
      </c>
    </row>
    <row r="2011" spans="1:19" hidden="1" x14ac:dyDescent="0.3">
      <c r="A2011">
        <v>403</v>
      </c>
      <c r="B2011" t="s">
        <v>1121</v>
      </c>
      <c r="C2011" t="s">
        <v>1110</v>
      </c>
      <c r="D2011" t="s">
        <v>21</v>
      </c>
      <c r="E2011" t="s">
        <v>22</v>
      </c>
      <c r="F2011" s="79">
        <v>46022</v>
      </c>
      <c r="G2011">
        <v>2025</v>
      </c>
      <c r="H2011" t="s">
        <v>23</v>
      </c>
      <c r="I2011" t="s">
        <v>32</v>
      </c>
      <c r="K2011">
        <v>12510</v>
      </c>
      <c r="L2011" s="39"/>
      <c r="M2011" s="39"/>
      <c r="N2011" t="s">
        <v>263</v>
      </c>
      <c r="O2011" t="s">
        <v>128</v>
      </c>
      <c r="P2011">
        <v>0</v>
      </c>
      <c r="Q2011">
        <v>0</v>
      </c>
      <c r="R2011" t="s">
        <v>1122</v>
      </c>
      <c r="S2011" t="s">
        <v>263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45107</v>
      </c>
      <c r="G2012">
        <v>2023</v>
      </c>
      <c r="H2012" t="s">
        <v>699</v>
      </c>
      <c r="I2012" t="s">
        <v>1512</v>
      </c>
      <c r="J2012">
        <v>20</v>
      </c>
      <c r="K2012">
        <v>2</v>
      </c>
      <c r="L2012" s="39">
        <f t="shared" ref="L2012:L2022" si="126">IFERROR(IF(OR(J2012=0,K2012=""),"",IF(E2012="Positivo",MIN(MAX(K2012/J2012,0),1.3),MIN(MAX(J2012/K2012,0),1.3))),"")</f>
        <v>1.3</v>
      </c>
      <c r="M2012" s="39">
        <f t="shared" ref="M2012:M2022" si="127">IFERROR(IF(OR(J2012=0,K2012=""),"",IF(E2012="Positivo",MAX(K2012/J2012,0),MAX(J2012/K2012,0))),"")</f>
        <v>10</v>
      </c>
      <c r="N2012">
        <v>0</v>
      </c>
      <c r="O2012" t="s">
        <v>128</v>
      </c>
      <c r="P2012">
        <v>0</v>
      </c>
      <c r="Q2012">
        <v>0</v>
      </c>
      <c r="R2012" t="s">
        <v>2855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45291</v>
      </c>
      <c r="G2013">
        <v>2023</v>
      </c>
      <c r="H2013" t="s">
        <v>23</v>
      </c>
      <c r="I2013" t="s">
        <v>28</v>
      </c>
      <c r="J2013">
        <v>20</v>
      </c>
      <c r="K2013">
        <v>1.31</v>
      </c>
      <c r="L2013" s="39">
        <f t="shared" si="126"/>
        <v>1.3</v>
      </c>
      <c r="M2013" s="39">
        <f t="shared" si="127"/>
        <v>15.267175572519083</v>
      </c>
      <c r="N2013">
        <v>0</v>
      </c>
      <c r="O2013" t="s">
        <v>128</v>
      </c>
      <c r="P2013">
        <v>0</v>
      </c>
      <c r="Q2013">
        <v>0</v>
      </c>
      <c r="R2013" t="s">
        <v>1124</v>
      </c>
    </row>
    <row r="2014" spans="1:19" hidden="1" x14ac:dyDescent="0.3">
      <c r="A2014">
        <v>404</v>
      </c>
      <c r="B2014" t="s">
        <v>1123</v>
      </c>
      <c r="C2014" t="s">
        <v>1110</v>
      </c>
      <c r="D2014" t="s">
        <v>27</v>
      </c>
      <c r="E2014" t="s">
        <v>41</v>
      </c>
      <c r="F2014" s="79">
        <v>45473</v>
      </c>
      <c r="G2014">
        <v>2024</v>
      </c>
      <c r="H2014" t="s">
        <v>699</v>
      </c>
      <c r="I2014" t="s">
        <v>729</v>
      </c>
      <c r="J2014">
        <v>10</v>
      </c>
      <c r="K2014">
        <v>5.85</v>
      </c>
      <c r="L2014" s="39">
        <f t="shared" si="126"/>
        <v>1.3</v>
      </c>
      <c r="M2014" s="39">
        <f t="shared" si="127"/>
        <v>1.7094017094017095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404</v>
      </c>
      <c r="B2015" t="s">
        <v>1123</v>
      </c>
      <c r="C2015" t="s">
        <v>1110</v>
      </c>
      <c r="D2015" t="s">
        <v>27</v>
      </c>
      <c r="E2015" t="s">
        <v>41</v>
      </c>
      <c r="F2015" s="79">
        <v>45657</v>
      </c>
      <c r="G2015">
        <v>2024</v>
      </c>
      <c r="H2015" t="s">
        <v>23</v>
      </c>
      <c r="I2015" t="s">
        <v>30</v>
      </c>
      <c r="J2015">
        <v>10</v>
      </c>
      <c r="K2015">
        <v>6.02</v>
      </c>
      <c r="L2015" s="39">
        <f t="shared" si="126"/>
        <v>1.3</v>
      </c>
      <c r="M2015" s="39">
        <f t="shared" si="127"/>
        <v>1.6611295681063125</v>
      </c>
      <c r="N2015" t="s">
        <v>25</v>
      </c>
      <c r="O2015" t="s">
        <v>25</v>
      </c>
      <c r="P2015">
        <v>0</v>
      </c>
      <c r="Q2015">
        <v>0</v>
      </c>
      <c r="R2015" t="s">
        <v>1125</v>
      </c>
    </row>
    <row r="2016" spans="1:19" hidden="1" x14ac:dyDescent="0.3">
      <c r="A2016">
        <v>405</v>
      </c>
      <c r="B2016" t="s">
        <v>2857</v>
      </c>
      <c r="C2016" t="s">
        <v>1110</v>
      </c>
      <c r="D2016" t="s">
        <v>27</v>
      </c>
      <c r="E2016" t="s">
        <v>22</v>
      </c>
      <c r="F2016" s="79">
        <v>45107</v>
      </c>
      <c r="G2016">
        <v>2023</v>
      </c>
      <c r="H2016" t="s">
        <v>699</v>
      </c>
      <c r="I2016" t="s">
        <v>1512</v>
      </c>
      <c r="J2016">
        <v>25</v>
      </c>
      <c r="K2016">
        <v>30</v>
      </c>
      <c r="L2016" s="39">
        <f t="shared" si="126"/>
        <v>1.2</v>
      </c>
      <c r="M2016" s="39">
        <f t="shared" si="127"/>
        <v>1.2</v>
      </c>
      <c r="N2016" t="s">
        <v>25</v>
      </c>
      <c r="O2016" t="s">
        <v>25</v>
      </c>
      <c r="P2016">
        <v>0</v>
      </c>
      <c r="Q2016">
        <v>0</v>
      </c>
      <c r="R2016" t="s">
        <v>2858</v>
      </c>
    </row>
    <row r="2017" spans="1:19" hidden="1" x14ac:dyDescent="0.3">
      <c r="A2017">
        <v>405</v>
      </c>
      <c r="B2017" t="s">
        <v>2857</v>
      </c>
      <c r="C2017" t="s">
        <v>1110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50</v>
      </c>
      <c r="K2017">
        <v>62</v>
      </c>
      <c r="L2017" s="39">
        <f t="shared" si="126"/>
        <v>1.24</v>
      </c>
      <c r="M2017" s="39">
        <f t="shared" si="127"/>
        <v>1.24</v>
      </c>
      <c r="N2017" t="s">
        <v>25</v>
      </c>
      <c r="O2017" t="s">
        <v>25</v>
      </c>
      <c r="P2017">
        <v>0</v>
      </c>
      <c r="Q2017">
        <v>0</v>
      </c>
      <c r="R2017" t="s">
        <v>1127</v>
      </c>
    </row>
    <row r="2018" spans="1:19" hidden="1" x14ac:dyDescent="0.3">
      <c r="A2018">
        <v>405</v>
      </c>
      <c r="B2018" t="s">
        <v>1126</v>
      </c>
      <c r="C2018" t="s">
        <v>1110</v>
      </c>
      <c r="D2018" t="s">
        <v>27</v>
      </c>
      <c r="E2018" t="s">
        <v>22</v>
      </c>
      <c r="F2018" s="79">
        <v>45473</v>
      </c>
      <c r="G2018">
        <v>2024</v>
      </c>
      <c r="H2018" t="s">
        <v>699</v>
      </c>
      <c r="I2018" t="s">
        <v>729</v>
      </c>
      <c r="J2018">
        <v>100</v>
      </c>
      <c r="K2018">
        <v>92</v>
      </c>
      <c r="L2018" s="39">
        <f t="shared" si="126"/>
        <v>0.92</v>
      </c>
      <c r="M2018" s="39">
        <f t="shared" si="127"/>
        <v>0.92</v>
      </c>
      <c r="N2018" t="s">
        <v>25</v>
      </c>
      <c r="O2018" t="s">
        <v>25</v>
      </c>
      <c r="P2018">
        <v>0</v>
      </c>
      <c r="Q2018">
        <v>0</v>
      </c>
      <c r="R2018" t="s">
        <v>2859</v>
      </c>
    </row>
    <row r="2019" spans="1:19" hidden="1" x14ac:dyDescent="0.3">
      <c r="A2019">
        <v>405</v>
      </c>
      <c r="B2019" t="s">
        <v>1126</v>
      </c>
      <c r="C2019" t="s">
        <v>1110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98</v>
      </c>
      <c r="L2019" s="39">
        <f t="shared" si="126"/>
        <v>0.98</v>
      </c>
      <c r="M2019" s="39">
        <f t="shared" si="127"/>
        <v>0.98</v>
      </c>
      <c r="N2019" t="s">
        <v>25</v>
      </c>
      <c r="O2019" t="s">
        <v>25</v>
      </c>
      <c r="P2019">
        <v>0</v>
      </c>
      <c r="Q2019">
        <v>0</v>
      </c>
      <c r="R2019" t="s">
        <v>1128</v>
      </c>
    </row>
    <row r="2020" spans="1:19" hidden="1" x14ac:dyDescent="0.3">
      <c r="A2020">
        <v>406</v>
      </c>
      <c r="B2020" t="s">
        <v>1129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5</v>
      </c>
      <c r="K2020">
        <v>5</v>
      </c>
      <c r="L2020" s="39">
        <f t="shared" si="126"/>
        <v>1</v>
      </c>
      <c r="M2020" s="39">
        <f t="shared" si="127"/>
        <v>1</v>
      </c>
      <c r="N2020" t="s">
        <v>25</v>
      </c>
      <c r="O2020" t="s">
        <v>25</v>
      </c>
      <c r="P2020">
        <v>0</v>
      </c>
      <c r="Q2020">
        <v>0</v>
      </c>
      <c r="R2020" t="s">
        <v>1130</v>
      </c>
    </row>
    <row r="2021" spans="1:19" hidden="1" x14ac:dyDescent="0.3">
      <c r="A2021">
        <v>406</v>
      </c>
      <c r="B2021" t="s">
        <v>1129</v>
      </c>
      <c r="C2021" t="s">
        <v>819</v>
      </c>
      <c r="D2021" t="s">
        <v>27</v>
      </c>
      <c r="E2021" t="s">
        <v>22</v>
      </c>
      <c r="F2021" s="79">
        <v>45473</v>
      </c>
      <c r="G2021">
        <v>2024</v>
      </c>
      <c r="H2021" t="s">
        <v>699</v>
      </c>
      <c r="I2021" t="s">
        <v>729</v>
      </c>
      <c r="J2021">
        <v>0</v>
      </c>
      <c r="K2021">
        <v>3</v>
      </c>
      <c r="L2021" s="39" t="str">
        <f t="shared" si="126"/>
        <v/>
      </c>
      <c r="M2021" s="39" t="str">
        <f t="shared" si="127"/>
        <v/>
      </c>
      <c r="N2021" t="s">
        <v>128</v>
      </c>
      <c r="O2021" t="s">
        <v>128</v>
      </c>
      <c r="P2021">
        <v>0</v>
      </c>
      <c r="Q2021">
        <v>0</v>
      </c>
      <c r="R2021" t="s">
        <v>2860</v>
      </c>
    </row>
    <row r="2022" spans="1:19" hidden="1" x14ac:dyDescent="0.3">
      <c r="A2022">
        <v>407</v>
      </c>
      <c r="B2022" t="s">
        <v>1132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3</v>
      </c>
      <c r="K2022">
        <v>3</v>
      </c>
      <c r="L2022" s="39">
        <f t="shared" si="126"/>
        <v>1</v>
      </c>
      <c r="M2022" s="39">
        <f t="shared" si="127"/>
        <v>1</v>
      </c>
      <c r="N2022" t="s">
        <v>128</v>
      </c>
      <c r="O2022" t="s">
        <v>128</v>
      </c>
      <c r="P2022">
        <v>0</v>
      </c>
      <c r="Q2022">
        <v>0</v>
      </c>
      <c r="R2022" t="s">
        <v>1133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45107</v>
      </c>
      <c r="G2023">
        <v>2023</v>
      </c>
      <c r="H2023" t="s">
        <v>699</v>
      </c>
      <c r="I2023" t="s">
        <v>1512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2861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1136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L2025" s="39"/>
      <c r="M2025" s="39"/>
      <c r="N2025" t="s">
        <v>128</v>
      </c>
      <c r="O2025" t="s">
        <v>302</v>
      </c>
      <c r="P2025">
        <v>0</v>
      </c>
      <c r="Q2025">
        <v>0</v>
      </c>
      <c r="R2025" t="s">
        <v>2862</v>
      </c>
      <c r="S2025" t="s">
        <v>302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1137</v>
      </c>
    </row>
    <row r="2027" spans="1:19" hidden="1" x14ac:dyDescent="0.3">
      <c r="A2027">
        <v>408</v>
      </c>
      <c r="B2027" t="s">
        <v>1135</v>
      </c>
      <c r="C2027" t="s">
        <v>819</v>
      </c>
      <c r="D2027" t="s">
        <v>21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100</v>
      </c>
      <c r="L2027" s="39">
        <f>IFERROR(IF(OR(J2027=0,K2027=""),"",IF(E2027="Positivo",MIN(MAX(K2027/J2027,0),1.3),MIN(MAX(J2027/K2027,0),1.3))),"")</f>
        <v>1</v>
      </c>
      <c r="M2027" s="39">
        <f>IFERROR(IF(OR(J2027=0,K2027=""),"",IF(E2027="Positivo",MAX(K2027/J2027,0),MAX(J2027/K2027,0))),"")</f>
        <v>1</v>
      </c>
      <c r="N2027" t="s">
        <v>128</v>
      </c>
      <c r="O2027" t="s">
        <v>128</v>
      </c>
      <c r="P2027">
        <v>0</v>
      </c>
      <c r="Q2027">
        <v>0</v>
      </c>
      <c r="R2027" t="s">
        <v>2863</v>
      </c>
    </row>
    <row r="2028" spans="1:19" hidden="1" x14ac:dyDescent="0.3">
      <c r="A2028">
        <v>408</v>
      </c>
      <c r="B2028" t="s">
        <v>1135</v>
      </c>
      <c r="C2028" t="s">
        <v>819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100</v>
      </c>
      <c r="L2028" s="39">
        <f>IFERROR(IF(OR(J2028=0,K2028=""),"",IF(E2028="Positivo",MIN(MAX(K2028/J2028,0),1.3),MIN(MAX(J2028/K2028,0),1.3))),"")</f>
        <v>1</v>
      </c>
      <c r="M2028" s="39">
        <f>IFERROR(IF(OR(J2028=0,K2028=""),"",IF(E2028="Positivo",MAX(K2028/J2028,0),MAX(J2028/K2028,0))),"")</f>
        <v>1</v>
      </c>
      <c r="N2028" t="s">
        <v>128</v>
      </c>
      <c r="O2028" t="s">
        <v>128</v>
      </c>
      <c r="P2028">
        <v>0</v>
      </c>
      <c r="Q2028">
        <v>0</v>
      </c>
      <c r="R2028" t="s">
        <v>1138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1512</v>
      </c>
      <c r="L2029" s="39"/>
      <c r="M2029" s="39"/>
      <c r="N2029" t="s">
        <v>25</v>
      </c>
      <c r="O2029" t="s">
        <v>302</v>
      </c>
      <c r="P2029">
        <v>0</v>
      </c>
      <c r="Q2029">
        <v>0</v>
      </c>
      <c r="R2029" t="s">
        <v>2864</v>
      </c>
      <c r="S2029" t="s">
        <v>302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45199</v>
      </c>
      <c r="G2030">
        <v>2023</v>
      </c>
      <c r="H2030" t="s">
        <v>162</v>
      </c>
      <c r="I2030" t="s">
        <v>28</v>
      </c>
      <c r="J2030">
        <v>80</v>
      </c>
      <c r="K2030">
        <v>103.71885459278541</v>
      </c>
      <c r="L2030" s="39">
        <f t="shared" ref="L2030:L2036" si="128">IFERROR(IF(OR(J2030=0,K2030=""),"",IF(E2030="Positivo",MIN(MAX(K2030/J2030,0),1.3),MIN(MAX(J2030/K2030,0),1.3))),"")</f>
        <v>1.2964856824098177</v>
      </c>
      <c r="M2030" s="39">
        <f t="shared" ref="M2030:M2036" si="129">IFERROR(IF(OR(J2030=0,K2030=""),"",IF(E2030="Positivo",MAX(K2030/J2030,0),MAX(J2030/K2030,0))),"")</f>
        <v>1.2964856824098177</v>
      </c>
      <c r="N2030" t="s">
        <v>25</v>
      </c>
      <c r="O2030" t="s">
        <v>25</v>
      </c>
      <c r="P2030">
        <v>0</v>
      </c>
      <c r="Q2030">
        <v>0</v>
      </c>
      <c r="R2030" t="s">
        <v>2865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45291</v>
      </c>
      <c r="G2031">
        <v>2023</v>
      </c>
      <c r="H2031" t="s">
        <v>23</v>
      </c>
      <c r="I2031" t="s">
        <v>28</v>
      </c>
      <c r="J2031">
        <v>80</v>
      </c>
      <c r="K2031">
        <v>100</v>
      </c>
      <c r="L2031" s="39">
        <f t="shared" si="128"/>
        <v>1.25</v>
      </c>
      <c r="M2031" s="39">
        <f t="shared" si="129"/>
        <v>1.25</v>
      </c>
      <c r="N2031" t="s">
        <v>25</v>
      </c>
      <c r="O2031" t="s">
        <v>25</v>
      </c>
      <c r="P2031">
        <v>0</v>
      </c>
      <c r="Q2031">
        <v>0</v>
      </c>
      <c r="R2031" t="s">
        <v>1140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45382</v>
      </c>
      <c r="G2032">
        <v>2024</v>
      </c>
      <c r="H2032" t="s">
        <v>1516</v>
      </c>
      <c r="I2032" t="s">
        <v>729</v>
      </c>
      <c r="J2032">
        <v>95</v>
      </c>
      <c r="K2032">
        <v>98.022598870056498</v>
      </c>
      <c r="L2032" s="39">
        <f t="shared" si="128"/>
        <v>1.031816830211121</v>
      </c>
      <c r="M2032" s="39">
        <f t="shared" si="129"/>
        <v>1.031816830211121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95</v>
      </c>
      <c r="K2033">
        <v>98.496240601503757</v>
      </c>
      <c r="L2033" s="39">
        <f t="shared" si="128"/>
        <v>1.036802532647408</v>
      </c>
      <c r="M2033" s="39">
        <f t="shared" si="129"/>
        <v>1.036802532647408</v>
      </c>
      <c r="N2033" t="s">
        <v>25</v>
      </c>
      <c r="O2033" t="s">
        <v>25</v>
      </c>
      <c r="P2033">
        <v>0</v>
      </c>
      <c r="Q2033">
        <v>0</v>
      </c>
      <c r="R2033" t="s">
        <v>2867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21</v>
      </c>
      <c r="E2034" t="s">
        <v>22</v>
      </c>
      <c r="F2034" s="79">
        <v>45565</v>
      </c>
      <c r="G2034">
        <v>2024</v>
      </c>
      <c r="H2034" t="s">
        <v>162</v>
      </c>
      <c r="I2034" t="s">
        <v>30</v>
      </c>
      <c r="J2034">
        <v>95</v>
      </c>
      <c r="K2034">
        <v>97.122302158273357</v>
      </c>
      <c r="L2034" s="39">
        <f t="shared" si="128"/>
        <v>1.022340022718667</v>
      </c>
      <c r="M2034" s="39">
        <f t="shared" si="129"/>
        <v>1.022340022718667</v>
      </c>
      <c r="N2034" t="s">
        <v>25</v>
      </c>
      <c r="O2034" t="s">
        <v>25</v>
      </c>
      <c r="P2034">
        <v>0</v>
      </c>
      <c r="Q2034">
        <v>0</v>
      </c>
      <c r="R2034" t="s">
        <v>2868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21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95</v>
      </c>
      <c r="K2035">
        <v>96.457326892109478</v>
      </c>
      <c r="L2035" s="39">
        <f t="shared" si="128"/>
        <v>1.0153402830748366</v>
      </c>
      <c r="M2035" s="39">
        <f t="shared" si="129"/>
        <v>1.0153402830748366</v>
      </c>
      <c r="N2035" t="s">
        <v>25</v>
      </c>
      <c r="O2035" t="s">
        <v>25</v>
      </c>
      <c r="P2035">
        <v>0</v>
      </c>
      <c r="Q2035">
        <v>0</v>
      </c>
      <c r="R2035" t="s">
        <v>1141</v>
      </c>
    </row>
    <row r="2036" spans="1:19" hidden="1" x14ac:dyDescent="0.3">
      <c r="A2036">
        <v>409</v>
      </c>
      <c r="B2036" t="s">
        <v>1139</v>
      </c>
      <c r="C2036" t="s">
        <v>595</v>
      </c>
      <c r="D2036" t="s">
        <v>27</v>
      </c>
      <c r="E2036" t="s">
        <v>22</v>
      </c>
      <c r="F2036" s="79">
        <v>45747</v>
      </c>
      <c r="G2036">
        <v>2025</v>
      </c>
      <c r="H2036" t="s">
        <v>1516</v>
      </c>
      <c r="I2036" t="s">
        <v>700</v>
      </c>
      <c r="J2036">
        <v>95</v>
      </c>
      <c r="K2036">
        <v>100</v>
      </c>
      <c r="L2036" s="39">
        <f t="shared" si="128"/>
        <v>1.0526315789473684</v>
      </c>
      <c r="M2036" s="39">
        <f t="shared" si="129"/>
        <v>1.0526315789473684</v>
      </c>
      <c r="N2036" t="s">
        <v>25</v>
      </c>
      <c r="O2036" t="s">
        <v>25</v>
      </c>
      <c r="P2036">
        <v>0</v>
      </c>
      <c r="Q2036">
        <v>0</v>
      </c>
      <c r="R2036" t="s">
        <v>2869</v>
      </c>
    </row>
    <row r="2037" spans="1:19" hidden="1" x14ac:dyDescent="0.3">
      <c r="A2037">
        <v>409</v>
      </c>
      <c r="B2037" t="s">
        <v>1139</v>
      </c>
      <c r="C2037" t="s">
        <v>595</v>
      </c>
      <c r="D2037" t="s">
        <v>27</v>
      </c>
      <c r="E2037" t="s">
        <v>22</v>
      </c>
      <c r="F2037" s="79">
        <v>45838</v>
      </c>
      <c r="G2037">
        <v>2025</v>
      </c>
      <c r="H2037" t="s">
        <v>699</v>
      </c>
      <c r="I2037" t="s">
        <v>700</v>
      </c>
      <c r="J2037">
        <v>95</v>
      </c>
      <c r="L2037" s="39"/>
      <c r="M2037" s="39"/>
      <c r="N2037" t="s">
        <v>25</v>
      </c>
      <c r="O2037" t="s">
        <v>302</v>
      </c>
      <c r="P2037">
        <v>0</v>
      </c>
      <c r="Q2037">
        <v>0</v>
      </c>
      <c r="R2037" t="s">
        <v>1142</v>
      </c>
      <c r="S2037" t="s">
        <v>302</v>
      </c>
    </row>
    <row r="2038" spans="1:19" hidden="1" x14ac:dyDescent="0.3">
      <c r="A2038">
        <v>410</v>
      </c>
      <c r="B2038" t="s">
        <v>1143</v>
      </c>
      <c r="C2038" t="s">
        <v>595</v>
      </c>
      <c r="D2038" t="s">
        <v>21</v>
      </c>
      <c r="E2038" t="s">
        <v>22</v>
      </c>
      <c r="F2038" s="79">
        <v>45199</v>
      </c>
      <c r="G2038">
        <v>2023</v>
      </c>
      <c r="H2038" t="s">
        <v>162</v>
      </c>
      <c r="I2038" t="s">
        <v>28</v>
      </c>
      <c r="J2038">
        <v>90</v>
      </c>
      <c r="K2038">
        <v>90.31</v>
      </c>
      <c r="L2038" s="39">
        <f>IFERROR(IF(OR(J2038=0,K2038=""),"",IF(E2038="Positivo",MIN(MAX(K2038/J2038,0),1.3),MIN(MAX(J2038/K2038,0),1.3))),"")</f>
        <v>1.0034444444444444</v>
      </c>
      <c r="M2038" s="39">
        <f>IFERROR(IF(OR(J2038=0,K2038=""),"",IF(E2038="Positivo",MAX(K2038/J2038,0),MAX(J2038/K2038,0))),"")</f>
        <v>1.0034444444444444</v>
      </c>
      <c r="N2038" t="s">
        <v>25</v>
      </c>
      <c r="O2038" t="s">
        <v>25</v>
      </c>
      <c r="P2038">
        <v>0</v>
      </c>
      <c r="Q2038">
        <v>0</v>
      </c>
      <c r="R2038" t="s">
        <v>2870</v>
      </c>
    </row>
    <row r="2039" spans="1:19" hidden="1" x14ac:dyDescent="0.3">
      <c r="A2039">
        <v>411</v>
      </c>
      <c r="B2039" t="s">
        <v>1145</v>
      </c>
      <c r="C2039" t="s">
        <v>1078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1146</v>
      </c>
    </row>
    <row r="2040" spans="1:19" hidden="1" x14ac:dyDescent="0.3">
      <c r="A2040">
        <v>412</v>
      </c>
      <c r="B2040" t="s">
        <v>1147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25</v>
      </c>
      <c r="O2040" t="s">
        <v>25</v>
      </c>
      <c r="P2040">
        <v>0</v>
      </c>
      <c r="Q2040">
        <v>0</v>
      </c>
      <c r="R2040" t="s">
        <v>1148</v>
      </c>
    </row>
    <row r="2041" spans="1:19" hidden="1" x14ac:dyDescent="0.3">
      <c r="A2041">
        <v>412</v>
      </c>
      <c r="B2041" t="s">
        <v>1149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>IFERROR(IF(OR(J2041=0,K2041=""),"",IF(E2041="Positivo",MAX(K2041/J2041,0),MAX(J2041/K2041,0))),"")</f>
        <v>1</v>
      </c>
      <c r="N2041" t="s">
        <v>25</v>
      </c>
      <c r="O2041" t="s">
        <v>25</v>
      </c>
      <c r="P2041">
        <v>0</v>
      </c>
      <c r="Q2041">
        <v>0</v>
      </c>
      <c r="R2041" t="s">
        <v>1150</v>
      </c>
    </row>
    <row r="2042" spans="1:19" hidden="1" x14ac:dyDescent="0.3">
      <c r="A2042">
        <v>413</v>
      </c>
      <c r="B2042" t="s">
        <v>1151</v>
      </c>
      <c r="C2042" t="s">
        <v>1078</v>
      </c>
      <c r="D2042" t="s">
        <v>71</v>
      </c>
      <c r="E2042" t="s">
        <v>22</v>
      </c>
      <c r="F2042" s="79">
        <v>45291</v>
      </c>
      <c r="G2042">
        <v>2023</v>
      </c>
      <c r="H2042" t="s">
        <v>23</v>
      </c>
      <c r="I2042" t="s">
        <v>28</v>
      </c>
      <c r="K2042">
        <v>100</v>
      </c>
      <c r="L2042" s="39"/>
      <c r="M2042" s="39"/>
      <c r="N2042" t="s">
        <v>355</v>
      </c>
      <c r="O2042" t="s">
        <v>25</v>
      </c>
      <c r="P2042">
        <v>0</v>
      </c>
      <c r="Q2042">
        <v>0</v>
      </c>
      <c r="R2042" t="s">
        <v>1152</v>
      </c>
    </row>
    <row r="2043" spans="1:19" hidden="1" x14ac:dyDescent="0.3">
      <c r="A2043">
        <v>413</v>
      </c>
      <c r="B2043" t="s">
        <v>1153</v>
      </c>
      <c r="C2043" t="s">
        <v>1078</v>
      </c>
      <c r="D2043" t="s">
        <v>71</v>
      </c>
      <c r="E2043" t="s">
        <v>22</v>
      </c>
      <c r="F2043" s="79">
        <v>45657</v>
      </c>
      <c r="G2043">
        <v>2024</v>
      </c>
      <c r="H2043" t="s">
        <v>23</v>
      </c>
      <c r="I2043" t="s">
        <v>30</v>
      </c>
      <c r="J2043">
        <v>100</v>
      </c>
      <c r="K2043">
        <v>100</v>
      </c>
      <c r="L2043" s="39">
        <f>IFERROR(IF(OR(J2043=0,K2043=""),"",IF(E2043="Positivo",MIN(MAX(K2043/J2043,0),1.3),MIN(MAX(J2043/K2043,0),1.3))),"")</f>
        <v>1</v>
      </c>
      <c r="M2043" s="39">
        <f t="shared" ref="M2043:M2074" si="130">IFERROR(IF(OR(J2043=0,K2043=""),"",IF(E2043="Positivo",MAX(K2043/J2043,0),MAX(J2043/K2043,0))),"")</f>
        <v>1</v>
      </c>
      <c r="P2043">
        <v>0</v>
      </c>
      <c r="Q2043">
        <v>0</v>
      </c>
      <c r="R2043" t="s">
        <v>1154</v>
      </c>
    </row>
    <row r="2044" spans="1:19" hidden="1" x14ac:dyDescent="0.3">
      <c r="A2044">
        <v>413</v>
      </c>
      <c r="B2044" t="s">
        <v>1153</v>
      </c>
      <c r="C2044" t="s">
        <v>1078</v>
      </c>
      <c r="D2044" t="s">
        <v>71</v>
      </c>
      <c r="E2044" t="s">
        <v>22</v>
      </c>
      <c r="F2044" s="79">
        <v>46022</v>
      </c>
      <c r="G2044">
        <v>2025</v>
      </c>
      <c r="H2044" t="s">
        <v>23</v>
      </c>
      <c r="I2044" t="s">
        <v>32</v>
      </c>
      <c r="J2044">
        <v>100</v>
      </c>
      <c r="K2044">
        <v>100</v>
      </c>
      <c r="L2044" s="39">
        <f>IFERROR(IF(OR(J2044=0,K2044=""),"",IF(E2044="Positivo",MIN(MAX(K2044/J2044,0),1.3),MIN(MAX(J2044/K2044,0),1.3))),"")</f>
        <v>1</v>
      </c>
      <c r="M2044" s="39">
        <f t="shared" si="130"/>
        <v>1</v>
      </c>
      <c r="N2044" t="s">
        <v>355</v>
      </c>
      <c r="O2044" t="s">
        <v>128</v>
      </c>
      <c r="P2044">
        <v>0</v>
      </c>
      <c r="Q2044">
        <v>0</v>
      </c>
      <c r="R2044" t="s">
        <v>1155</v>
      </c>
    </row>
    <row r="2045" spans="1:19" hidden="1" x14ac:dyDescent="0.3">
      <c r="A2045">
        <v>414</v>
      </c>
      <c r="B2045" t="s">
        <v>1156</v>
      </c>
      <c r="C2045" t="s">
        <v>567</v>
      </c>
      <c r="D2045" t="s">
        <v>27</v>
      </c>
      <c r="E2045" t="s">
        <v>22</v>
      </c>
      <c r="F2045" s="79">
        <v>45016</v>
      </c>
      <c r="G2045">
        <v>2023</v>
      </c>
      <c r="H2045" t="s">
        <v>1516</v>
      </c>
      <c r="I2045" t="s">
        <v>1512</v>
      </c>
      <c r="J2045">
        <v>100</v>
      </c>
      <c r="K2045">
        <v>0</v>
      </c>
      <c r="L2045" s="39">
        <f t="shared" ref="L2045:L2076" si="131">IFERROR(IF(OR(J2045=0,K2045=""),"",IF(E2045="Positivo",MIN(MAX(K2045/J2045,0),1),MIN(MAX(J2045/K2045,0),1))),"")</f>
        <v>0</v>
      </c>
      <c r="M2045" s="39">
        <f t="shared" si="130"/>
        <v>0</v>
      </c>
      <c r="N2045" t="s">
        <v>25</v>
      </c>
      <c r="O2045" t="s">
        <v>25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45107</v>
      </c>
      <c r="G2046">
        <v>2023</v>
      </c>
      <c r="H2046" t="s">
        <v>699</v>
      </c>
      <c r="I2046" t="s">
        <v>1512</v>
      </c>
      <c r="J2046">
        <v>100</v>
      </c>
      <c r="K2046">
        <v>110.01</v>
      </c>
      <c r="L2046" s="39">
        <f t="shared" si="131"/>
        <v>1</v>
      </c>
      <c r="M2046" s="39">
        <f t="shared" si="130"/>
        <v>1.1001000000000001</v>
      </c>
      <c r="P2046">
        <v>0</v>
      </c>
      <c r="Q2046">
        <v>0</v>
      </c>
      <c r="R2046" t="s">
        <v>2872</v>
      </c>
    </row>
    <row r="2047" spans="1:19" hidden="1" x14ac:dyDescent="0.3">
      <c r="A2047">
        <v>414</v>
      </c>
      <c r="B2047" t="s">
        <v>1156</v>
      </c>
      <c r="D2047" t="s">
        <v>21</v>
      </c>
      <c r="E2047" t="s">
        <v>22</v>
      </c>
      <c r="F2047" s="79">
        <v>45199</v>
      </c>
      <c r="G2047">
        <v>2023</v>
      </c>
      <c r="H2047" t="s">
        <v>162</v>
      </c>
      <c r="I2047" t="s">
        <v>28</v>
      </c>
      <c r="J2047">
        <v>100</v>
      </c>
      <c r="K2047">
        <v>93.54</v>
      </c>
      <c r="L2047" s="39">
        <f t="shared" si="131"/>
        <v>0.93540000000000001</v>
      </c>
      <c r="M2047" s="39">
        <f t="shared" si="130"/>
        <v>0.93540000000000001</v>
      </c>
      <c r="P2047">
        <v>0</v>
      </c>
      <c r="Q2047">
        <v>0</v>
      </c>
      <c r="R2047" t="s">
        <v>2873</v>
      </c>
    </row>
    <row r="2048" spans="1:19" hidden="1" x14ac:dyDescent="0.3">
      <c r="A2048">
        <v>414</v>
      </c>
      <c r="B2048" t="s">
        <v>1156</v>
      </c>
      <c r="D2048" t="s">
        <v>21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100</v>
      </c>
      <c r="K2048">
        <v>96.28</v>
      </c>
      <c r="L2048" s="39">
        <f t="shared" si="131"/>
        <v>0.96279999999999999</v>
      </c>
      <c r="M2048" s="39">
        <f t="shared" si="130"/>
        <v>0.96279999999999999</v>
      </c>
      <c r="P2048">
        <v>0</v>
      </c>
      <c r="Q2048">
        <v>0</v>
      </c>
      <c r="R2048" t="s">
        <v>1157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45382</v>
      </c>
      <c r="G2049">
        <v>2024</v>
      </c>
      <c r="H2049" t="s">
        <v>1516</v>
      </c>
      <c r="I2049" t="s">
        <v>729</v>
      </c>
      <c r="J2049">
        <v>100</v>
      </c>
      <c r="K2049">
        <v>99.3</v>
      </c>
      <c r="L2049" s="39">
        <f t="shared" si="131"/>
        <v>0.99299999999999999</v>
      </c>
      <c r="M2049" s="39">
        <f t="shared" si="130"/>
        <v>0.99299999999999999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100.06</v>
      </c>
      <c r="L2050" s="39">
        <f t="shared" si="131"/>
        <v>1</v>
      </c>
      <c r="M2050" s="39">
        <f t="shared" si="130"/>
        <v>1.0005999999999999</v>
      </c>
      <c r="P2050">
        <v>0</v>
      </c>
      <c r="Q2050">
        <v>0</v>
      </c>
      <c r="R2050" t="s">
        <v>2875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21</v>
      </c>
      <c r="E2051" t="s">
        <v>22</v>
      </c>
      <c r="F2051" s="79">
        <v>45565</v>
      </c>
      <c r="G2051">
        <v>2024</v>
      </c>
      <c r="H2051" t="s">
        <v>162</v>
      </c>
      <c r="I2051" t="s">
        <v>30</v>
      </c>
      <c r="J2051">
        <v>100</v>
      </c>
      <c r="K2051">
        <v>99.38</v>
      </c>
      <c r="L2051" s="39">
        <f t="shared" si="131"/>
        <v>0.99379999999999991</v>
      </c>
      <c r="M2051" s="39">
        <f t="shared" si="130"/>
        <v>0.99379999999999991</v>
      </c>
      <c r="P2051">
        <v>0</v>
      </c>
      <c r="Q2051">
        <v>0</v>
      </c>
      <c r="R2051" t="s">
        <v>2876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21</v>
      </c>
      <c r="E2052" t="s">
        <v>22</v>
      </c>
      <c r="F2052" s="79">
        <v>45657</v>
      </c>
      <c r="G2052">
        <v>2024</v>
      </c>
      <c r="H2052" t="s">
        <v>23</v>
      </c>
      <c r="I2052" t="s">
        <v>30</v>
      </c>
      <c r="J2052">
        <v>100</v>
      </c>
      <c r="K2052">
        <v>98.78</v>
      </c>
      <c r="L2052" s="39">
        <f t="shared" si="131"/>
        <v>0.98780000000000001</v>
      </c>
      <c r="M2052" s="39">
        <f t="shared" si="130"/>
        <v>0.98780000000000001</v>
      </c>
      <c r="P2052">
        <v>0</v>
      </c>
      <c r="Q2052">
        <v>0</v>
      </c>
      <c r="R2052" t="s">
        <v>1158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45747</v>
      </c>
      <c r="G2053">
        <v>2025</v>
      </c>
      <c r="H2053" t="s">
        <v>1516</v>
      </c>
      <c r="I2053" t="s">
        <v>700</v>
      </c>
      <c r="J2053">
        <v>100</v>
      </c>
      <c r="K2053">
        <v>110.79</v>
      </c>
      <c r="L2053" s="39">
        <f t="shared" si="131"/>
        <v>1</v>
      </c>
      <c r="M2053" s="39">
        <f t="shared" si="130"/>
        <v>1.1079000000000001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45838</v>
      </c>
      <c r="G2054">
        <v>2025</v>
      </c>
      <c r="H2054" t="s">
        <v>699</v>
      </c>
      <c r="I2054" t="s">
        <v>700</v>
      </c>
      <c r="J2054">
        <v>100</v>
      </c>
      <c r="K2054">
        <v>108.55</v>
      </c>
      <c r="L2054" s="39">
        <f t="shared" si="131"/>
        <v>1</v>
      </c>
      <c r="M2054" s="39">
        <f t="shared" si="130"/>
        <v>1.0854999999999999</v>
      </c>
      <c r="N2054" t="s">
        <v>25</v>
      </c>
      <c r="O2054" t="s">
        <v>25</v>
      </c>
      <c r="P2054">
        <v>0</v>
      </c>
      <c r="Q2054">
        <v>0</v>
      </c>
      <c r="R2054" t="s">
        <v>2878</v>
      </c>
    </row>
    <row r="2055" spans="1:18" hidden="1" x14ac:dyDescent="0.3">
      <c r="A2055">
        <v>414</v>
      </c>
      <c r="B2055" t="s">
        <v>1156</v>
      </c>
      <c r="C2055" t="s">
        <v>567</v>
      </c>
      <c r="D2055" t="s">
        <v>27</v>
      </c>
      <c r="E2055" t="s">
        <v>22</v>
      </c>
      <c r="F2055" s="79">
        <v>45930</v>
      </c>
      <c r="G2055">
        <v>2025</v>
      </c>
      <c r="H2055" t="s">
        <v>162</v>
      </c>
      <c r="I2055" t="s">
        <v>32</v>
      </c>
      <c r="J2055">
        <v>100</v>
      </c>
      <c r="K2055">
        <v>93.6</v>
      </c>
      <c r="L2055" s="39">
        <f t="shared" si="131"/>
        <v>0.93599999999999994</v>
      </c>
      <c r="M2055" s="39">
        <f t="shared" si="130"/>
        <v>0.93599999999999994</v>
      </c>
      <c r="N2055" t="s">
        <v>25</v>
      </c>
      <c r="O2055" t="s">
        <v>25</v>
      </c>
      <c r="P2055">
        <v>0</v>
      </c>
      <c r="Q2055">
        <v>0</v>
      </c>
      <c r="R2055" t="s">
        <v>2879</v>
      </c>
    </row>
    <row r="2056" spans="1:18" hidden="1" x14ac:dyDescent="0.3">
      <c r="A2056">
        <v>414</v>
      </c>
      <c r="B2056" t="s">
        <v>1156</v>
      </c>
      <c r="C2056" t="s">
        <v>567</v>
      </c>
      <c r="D2056" t="s">
        <v>27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98.87</v>
      </c>
      <c r="L2056" s="39">
        <f t="shared" si="131"/>
        <v>0.98870000000000002</v>
      </c>
      <c r="M2056" s="39">
        <f t="shared" si="130"/>
        <v>0.98870000000000002</v>
      </c>
      <c r="N2056" t="s">
        <v>25</v>
      </c>
      <c r="O2056" t="s">
        <v>25</v>
      </c>
      <c r="P2056">
        <v>0</v>
      </c>
      <c r="Q2056">
        <v>0</v>
      </c>
      <c r="R2056" t="s">
        <v>1159</v>
      </c>
    </row>
    <row r="2057" spans="1:18" hidden="1" x14ac:dyDescent="0.3">
      <c r="A2057">
        <v>415</v>
      </c>
      <c r="B2057" t="s">
        <v>1160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si="131"/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94.04</v>
      </c>
      <c r="L2058" s="39">
        <f t="shared" si="131"/>
        <v>0.94040000000000001</v>
      </c>
      <c r="M2058" s="39">
        <f t="shared" si="130"/>
        <v>0.94040000000000001</v>
      </c>
      <c r="P2058">
        <v>0</v>
      </c>
      <c r="Q2058">
        <v>0</v>
      </c>
      <c r="R2058" t="s">
        <v>2881</v>
      </c>
    </row>
    <row r="2059" spans="1:18" hidden="1" x14ac:dyDescent="0.3">
      <c r="A2059">
        <v>415</v>
      </c>
      <c r="B2059" t="s">
        <v>1160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93.94</v>
      </c>
      <c r="L2059" s="39">
        <f t="shared" si="131"/>
        <v>0.93940000000000001</v>
      </c>
      <c r="M2059" s="39">
        <f t="shared" si="130"/>
        <v>0.93940000000000001</v>
      </c>
      <c r="P2059">
        <v>0</v>
      </c>
      <c r="Q2059">
        <v>0</v>
      </c>
      <c r="R2059" t="s">
        <v>2882</v>
      </c>
    </row>
    <row r="2060" spans="1:18" hidden="1" x14ac:dyDescent="0.3">
      <c r="A2060">
        <v>415</v>
      </c>
      <c r="B2060" t="s">
        <v>1160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</v>
      </c>
      <c r="L2060" s="39">
        <f t="shared" si="131"/>
        <v>0.96</v>
      </c>
      <c r="M2060" s="39">
        <f t="shared" si="130"/>
        <v>0.96</v>
      </c>
      <c r="P2060">
        <v>0</v>
      </c>
      <c r="Q2060">
        <v>0</v>
      </c>
      <c r="R2060" t="s">
        <v>1161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80.790000000000006</v>
      </c>
      <c r="L2061" s="39">
        <f t="shared" si="131"/>
        <v>0.80790000000000006</v>
      </c>
      <c r="M2061" s="39">
        <f t="shared" si="130"/>
        <v>0.80790000000000006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93.04</v>
      </c>
      <c r="L2062" s="39">
        <f t="shared" si="131"/>
        <v>0.93040000000000012</v>
      </c>
      <c r="M2062" s="39">
        <f t="shared" si="130"/>
        <v>0.93040000000000012</v>
      </c>
      <c r="P2062">
        <v>0</v>
      </c>
      <c r="Q2062">
        <v>0</v>
      </c>
      <c r="R2062" t="s">
        <v>2884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92.46</v>
      </c>
      <c r="L2063" s="39">
        <f t="shared" si="131"/>
        <v>0.92459999999999998</v>
      </c>
      <c r="M2063" s="39">
        <f t="shared" si="130"/>
        <v>0.92459999999999998</v>
      </c>
      <c r="P2063">
        <v>0</v>
      </c>
      <c r="Q2063">
        <v>0</v>
      </c>
      <c r="R2063" t="s">
        <v>2885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98.36</v>
      </c>
      <c r="L2064" s="39">
        <f t="shared" si="131"/>
        <v>0.98360000000000003</v>
      </c>
      <c r="M2064" s="39">
        <f t="shared" si="130"/>
        <v>0.98360000000000003</v>
      </c>
      <c r="P2064">
        <v>0</v>
      </c>
      <c r="Q2064">
        <v>0</v>
      </c>
      <c r="R2064" t="s">
        <v>1162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104.76</v>
      </c>
      <c r="L2065" s="39">
        <f t="shared" si="131"/>
        <v>1</v>
      </c>
      <c r="M2065" s="39">
        <f t="shared" si="130"/>
        <v>1.0476000000000001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96.44</v>
      </c>
      <c r="L2066" s="39">
        <f t="shared" si="131"/>
        <v>0.96439999999999992</v>
      </c>
      <c r="M2066" s="39">
        <f t="shared" si="130"/>
        <v>0.96439999999999992</v>
      </c>
      <c r="N2066" t="s">
        <v>25</v>
      </c>
      <c r="O2066" t="s">
        <v>25</v>
      </c>
      <c r="P2066">
        <v>0</v>
      </c>
      <c r="Q2066">
        <v>0</v>
      </c>
      <c r="R2066" t="s">
        <v>2887</v>
      </c>
    </row>
    <row r="2067" spans="1:18" hidden="1" x14ac:dyDescent="0.3">
      <c r="A2067">
        <v>415</v>
      </c>
      <c r="B2067" t="s">
        <v>1160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95.56</v>
      </c>
      <c r="L2067" s="39">
        <f t="shared" si="131"/>
        <v>0.9556</v>
      </c>
      <c r="M2067" s="39">
        <f t="shared" si="130"/>
        <v>0.9556</v>
      </c>
      <c r="N2067" t="s">
        <v>25</v>
      </c>
      <c r="O2067" t="s">
        <v>25</v>
      </c>
      <c r="P2067">
        <v>0</v>
      </c>
      <c r="Q2067">
        <v>0</v>
      </c>
      <c r="R2067" t="s">
        <v>2888</v>
      </c>
    </row>
    <row r="2068" spans="1:18" hidden="1" x14ac:dyDescent="0.3">
      <c r="A2068">
        <v>415</v>
      </c>
      <c r="B2068" t="s">
        <v>1160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99.3</v>
      </c>
      <c r="L2068" s="39">
        <f t="shared" si="131"/>
        <v>0.99299999999999999</v>
      </c>
      <c r="M2068" s="39">
        <f t="shared" si="130"/>
        <v>0.99299999999999999</v>
      </c>
      <c r="N2068" t="s">
        <v>25</v>
      </c>
      <c r="O2068" t="s">
        <v>25</v>
      </c>
      <c r="P2068">
        <v>0</v>
      </c>
      <c r="Q2068">
        <v>0</v>
      </c>
      <c r="R2068" t="s">
        <v>1163</v>
      </c>
    </row>
    <row r="2069" spans="1:18" hidden="1" x14ac:dyDescent="0.3">
      <c r="A2069">
        <v>416</v>
      </c>
      <c r="B2069" t="s">
        <v>1164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95.74</v>
      </c>
      <c r="L2070" s="39">
        <f t="shared" si="131"/>
        <v>0.95739999999999992</v>
      </c>
      <c r="M2070" s="39">
        <f t="shared" si="130"/>
        <v>0.95739999999999992</v>
      </c>
      <c r="P2070">
        <v>0</v>
      </c>
      <c r="Q2070">
        <v>0</v>
      </c>
      <c r="R2070" t="s">
        <v>2890</v>
      </c>
    </row>
    <row r="2071" spans="1:18" hidden="1" x14ac:dyDescent="0.3">
      <c r="A2071">
        <v>416</v>
      </c>
      <c r="B2071" t="s">
        <v>1164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87.94</v>
      </c>
      <c r="L2071" s="39">
        <f t="shared" si="131"/>
        <v>0.87939999999999996</v>
      </c>
      <c r="M2071" s="39">
        <f t="shared" si="130"/>
        <v>0.87939999999999996</v>
      </c>
      <c r="P2071">
        <v>0</v>
      </c>
      <c r="Q2071">
        <v>0</v>
      </c>
      <c r="R2071" t="s">
        <v>2891</v>
      </c>
    </row>
    <row r="2072" spans="1:18" hidden="1" x14ac:dyDescent="0.3">
      <c r="A2072">
        <v>416</v>
      </c>
      <c r="B2072" t="s">
        <v>1164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98</v>
      </c>
      <c r="L2072" s="39">
        <f t="shared" si="131"/>
        <v>0.98</v>
      </c>
      <c r="M2072" s="39">
        <f t="shared" si="130"/>
        <v>0.98</v>
      </c>
      <c r="P2072">
        <v>0</v>
      </c>
      <c r="Q2072">
        <v>0</v>
      </c>
      <c r="R2072" t="s">
        <v>1165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120.07</v>
      </c>
      <c r="L2073" s="39">
        <f t="shared" si="131"/>
        <v>1</v>
      </c>
      <c r="M2073" s="39">
        <f t="shared" si="130"/>
        <v>1.2006999999999999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117.1</v>
      </c>
      <c r="L2074" s="39">
        <f t="shared" si="131"/>
        <v>1</v>
      </c>
      <c r="M2074" s="39">
        <f t="shared" si="130"/>
        <v>1.171</v>
      </c>
      <c r="P2074">
        <v>0</v>
      </c>
      <c r="Q2074">
        <v>0</v>
      </c>
      <c r="R2074" t="s">
        <v>2893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99.81</v>
      </c>
      <c r="L2075" s="39">
        <f t="shared" si="131"/>
        <v>0.99809999999999999</v>
      </c>
      <c r="M2075" s="39">
        <f t="shared" ref="M2075:M2106" si="132">IFERROR(IF(OR(J2075=0,K2075=""),"",IF(E2075="Positivo",MAX(K2075/J2075,0),MAX(J2075/K2075,0))),"")</f>
        <v>0.99809999999999999</v>
      </c>
      <c r="P2075">
        <v>0</v>
      </c>
      <c r="Q2075">
        <v>0</v>
      </c>
      <c r="R2075" t="s">
        <v>2894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100</v>
      </c>
      <c r="L2076" s="39">
        <f t="shared" si="131"/>
        <v>1</v>
      </c>
      <c r="M2076" s="39">
        <f t="shared" si="132"/>
        <v>1</v>
      </c>
      <c r="P2076">
        <v>0</v>
      </c>
      <c r="Q2076">
        <v>0</v>
      </c>
      <c r="R2076" t="s">
        <v>1166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170.92</v>
      </c>
      <c r="L2077" s="39">
        <f t="shared" ref="L2077:L2104" si="133">IFERROR(IF(OR(J2077=0,K2077=""),"",IF(E2077="Positivo",MIN(MAX(K2077/J2077,0),1),MIN(MAX(J2077/K2077,0),1))),"")</f>
        <v>1</v>
      </c>
      <c r="M2077" s="39">
        <f t="shared" si="132"/>
        <v>1.7091999999999998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109.24</v>
      </c>
      <c r="L2078" s="39">
        <f t="shared" si="133"/>
        <v>1</v>
      </c>
      <c r="M2078" s="39">
        <f t="shared" si="132"/>
        <v>1.0924</v>
      </c>
      <c r="N2078" t="s">
        <v>25</v>
      </c>
      <c r="O2078" t="s">
        <v>25</v>
      </c>
      <c r="P2078">
        <v>0</v>
      </c>
      <c r="Q2078">
        <v>0</v>
      </c>
      <c r="R2078" t="s">
        <v>2896</v>
      </c>
    </row>
    <row r="2079" spans="1:18" hidden="1" x14ac:dyDescent="0.3">
      <c r="A2079">
        <v>416</v>
      </c>
      <c r="B2079" t="s">
        <v>1164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96.48</v>
      </c>
      <c r="L2079" s="39">
        <f t="shared" si="133"/>
        <v>0.96479999999999999</v>
      </c>
      <c r="M2079" s="39">
        <f t="shared" si="132"/>
        <v>0.96479999999999999</v>
      </c>
      <c r="N2079" t="s">
        <v>25</v>
      </c>
      <c r="O2079" t="s">
        <v>25</v>
      </c>
      <c r="P2079">
        <v>0</v>
      </c>
      <c r="Q2079">
        <v>0</v>
      </c>
      <c r="R2079" t="s">
        <v>2897</v>
      </c>
    </row>
    <row r="2080" spans="1:18" hidden="1" x14ac:dyDescent="0.3">
      <c r="A2080">
        <v>416</v>
      </c>
      <c r="B2080" t="s">
        <v>1164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100</v>
      </c>
      <c r="L2080" s="39">
        <f t="shared" si="133"/>
        <v>1</v>
      </c>
      <c r="M2080" s="39">
        <f t="shared" si="132"/>
        <v>1</v>
      </c>
      <c r="N2080" t="s">
        <v>25</v>
      </c>
      <c r="O2080" t="s">
        <v>25</v>
      </c>
      <c r="P2080">
        <v>0</v>
      </c>
      <c r="Q2080">
        <v>0</v>
      </c>
      <c r="R2080" t="s">
        <v>1167</v>
      </c>
    </row>
    <row r="2081" spans="1:18" hidden="1" x14ac:dyDescent="0.3">
      <c r="A2081">
        <v>417</v>
      </c>
      <c r="B2081" t="s">
        <v>1168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3"/>
        <v>0</v>
      </c>
      <c r="M2081" s="39">
        <f t="shared" si="132"/>
        <v>0</v>
      </c>
      <c r="N2081" t="s">
        <v>25</v>
      </c>
      <c r="O2081" t="s">
        <v>25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110.66833333333</v>
      </c>
      <c r="L2082" s="39">
        <f t="shared" si="133"/>
        <v>1</v>
      </c>
      <c r="M2082" s="39">
        <f t="shared" si="132"/>
        <v>1.1066833333332999</v>
      </c>
      <c r="P2082">
        <v>0</v>
      </c>
      <c r="Q2082">
        <v>0</v>
      </c>
      <c r="R2082" t="s">
        <v>2899</v>
      </c>
    </row>
    <row r="2083" spans="1:18" hidden="1" x14ac:dyDescent="0.3">
      <c r="A2083">
        <v>417</v>
      </c>
      <c r="B2083" t="s">
        <v>1168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93.756666666667002</v>
      </c>
      <c r="L2083" s="39">
        <f t="shared" si="133"/>
        <v>0.93756666666666999</v>
      </c>
      <c r="M2083" s="39">
        <f t="shared" si="132"/>
        <v>0.93756666666666999</v>
      </c>
      <c r="P2083">
        <v>0</v>
      </c>
      <c r="Q2083">
        <v>0</v>
      </c>
      <c r="R2083" t="s">
        <v>2900</v>
      </c>
    </row>
    <row r="2084" spans="1:18" hidden="1" x14ac:dyDescent="0.3">
      <c r="A2084">
        <v>417</v>
      </c>
      <c r="B2084" t="s">
        <v>1168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94.39</v>
      </c>
      <c r="L2084" s="39">
        <f t="shared" si="133"/>
        <v>0.94389999999999996</v>
      </c>
      <c r="M2084" s="39">
        <f t="shared" si="132"/>
        <v>0.94389999999999996</v>
      </c>
      <c r="P2084">
        <v>0</v>
      </c>
      <c r="Q2084">
        <v>0</v>
      </c>
      <c r="R2084" t="s">
        <v>1169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99.01</v>
      </c>
      <c r="L2085" s="39">
        <f t="shared" si="133"/>
        <v>0.99010000000000009</v>
      </c>
      <c r="M2085" s="39">
        <f t="shared" si="132"/>
        <v>0.99010000000000009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112.12</v>
      </c>
      <c r="L2086" s="39">
        <f t="shared" si="133"/>
        <v>1</v>
      </c>
      <c r="M2086" s="39">
        <f t="shared" si="132"/>
        <v>1.1212</v>
      </c>
      <c r="P2086">
        <v>0</v>
      </c>
      <c r="Q2086">
        <v>0</v>
      </c>
      <c r="R2086" t="s">
        <v>2902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100.19</v>
      </c>
      <c r="L2087" s="39">
        <f t="shared" si="133"/>
        <v>1</v>
      </c>
      <c r="M2087" s="39">
        <f t="shared" si="132"/>
        <v>1.0019</v>
      </c>
      <c r="P2087">
        <v>0</v>
      </c>
      <c r="Q2087">
        <v>0</v>
      </c>
      <c r="R2087" t="s">
        <v>2903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98.83</v>
      </c>
      <c r="L2088" s="39">
        <f t="shared" si="133"/>
        <v>0.98829999999999996</v>
      </c>
      <c r="M2088" s="39">
        <f t="shared" si="132"/>
        <v>0.98829999999999996</v>
      </c>
      <c r="P2088">
        <v>0</v>
      </c>
      <c r="Q2088">
        <v>0</v>
      </c>
      <c r="R2088" t="s">
        <v>1170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93.68</v>
      </c>
      <c r="L2089" s="39">
        <f t="shared" si="133"/>
        <v>0.93680000000000008</v>
      </c>
      <c r="M2089" s="39">
        <f t="shared" si="132"/>
        <v>0.93680000000000008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101.28</v>
      </c>
      <c r="L2090" s="39">
        <f t="shared" si="133"/>
        <v>1</v>
      </c>
      <c r="M2090" s="39">
        <f t="shared" si="132"/>
        <v>1.0127999999999999</v>
      </c>
      <c r="N2090" t="s">
        <v>25</v>
      </c>
      <c r="O2090" t="s">
        <v>25</v>
      </c>
      <c r="P2090">
        <v>0</v>
      </c>
      <c r="Q2090">
        <v>0</v>
      </c>
      <c r="R2090" t="s">
        <v>2905</v>
      </c>
    </row>
    <row r="2091" spans="1:18" hidden="1" x14ac:dyDescent="0.3">
      <c r="A2091">
        <v>417</v>
      </c>
      <c r="B2091" t="s">
        <v>1168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99.34</v>
      </c>
      <c r="L2091" s="39">
        <f t="shared" si="133"/>
        <v>0.99340000000000006</v>
      </c>
      <c r="M2091" s="39">
        <f t="shared" si="132"/>
        <v>0.99340000000000006</v>
      </c>
      <c r="N2091" t="s">
        <v>25</v>
      </c>
      <c r="O2091" t="s">
        <v>25</v>
      </c>
      <c r="P2091">
        <v>0</v>
      </c>
      <c r="Q2091">
        <v>0</v>
      </c>
      <c r="R2091" t="s">
        <v>2906</v>
      </c>
    </row>
    <row r="2092" spans="1:18" hidden="1" x14ac:dyDescent="0.3">
      <c r="A2092">
        <v>417</v>
      </c>
      <c r="B2092" t="s">
        <v>1168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97.99</v>
      </c>
      <c r="L2092" s="39">
        <f t="shared" si="133"/>
        <v>0.97989999999999999</v>
      </c>
      <c r="M2092" s="39">
        <f t="shared" si="132"/>
        <v>0.97989999999999999</v>
      </c>
      <c r="N2092" t="s">
        <v>25</v>
      </c>
      <c r="O2092" t="s">
        <v>25</v>
      </c>
      <c r="P2092">
        <v>0</v>
      </c>
      <c r="Q2092">
        <v>0</v>
      </c>
      <c r="R2092" t="s">
        <v>1171</v>
      </c>
    </row>
    <row r="2093" spans="1:18" hidden="1" x14ac:dyDescent="0.3">
      <c r="A2093">
        <v>418</v>
      </c>
      <c r="B2093" t="s">
        <v>1172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104.35666666666999</v>
      </c>
      <c r="L2094" s="39">
        <f t="shared" si="133"/>
        <v>1</v>
      </c>
      <c r="M2094" s="39">
        <f t="shared" si="132"/>
        <v>1.0435666666666998</v>
      </c>
      <c r="P2094">
        <v>0</v>
      </c>
      <c r="Q2094">
        <v>0</v>
      </c>
      <c r="R2094" t="s">
        <v>2908</v>
      </c>
    </row>
    <row r="2095" spans="1:18" hidden="1" x14ac:dyDescent="0.3">
      <c r="A2095">
        <v>418</v>
      </c>
      <c r="B2095" t="s">
        <v>1172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85.611111111111001</v>
      </c>
      <c r="L2095" s="39">
        <f t="shared" si="133"/>
        <v>0.85611111111111005</v>
      </c>
      <c r="M2095" s="39">
        <f t="shared" si="132"/>
        <v>0.85611111111111005</v>
      </c>
      <c r="P2095">
        <v>0</v>
      </c>
      <c r="Q2095">
        <v>0</v>
      </c>
      <c r="R2095" t="s">
        <v>2909</v>
      </c>
    </row>
    <row r="2096" spans="1:18" hidden="1" x14ac:dyDescent="0.3">
      <c r="A2096">
        <v>418</v>
      </c>
      <c r="B2096" t="s">
        <v>1172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95.802222222221999</v>
      </c>
      <c r="L2096" s="39">
        <f t="shared" si="133"/>
        <v>0.95802222222222</v>
      </c>
      <c r="M2096" s="39">
        <f t="shared" si="132"/>
        <v>0.95802222222222</v>
      </c>
      <c r="P2096">
        <v>0</v>
      </c>
      <c r="Q2096">
        <v>0</v>
      </c>
      <c r="R2096" t="s">
        <v>1173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105.5</v>
      </c>
      <c r="L2097" s="39">
        <f t="shared" si="133"/>
        <v>1</v>
      </c>
      <c r="M2097" s="39">
        <f t="shared" si="132"/>
        <v>1.0549999999999999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100.79</v>
      </c>
      <c r="L2098" s="39">
        <f t="shared" si="133"/>
        <v>1</v>
      </c>
      <c r="M2098" s="39">
        <f t="shared" si="132"/>
        <v>1.0079</v>
      </c>
      <c r="P2098">
        <v>0</v>
      </c>
      <c r="Q2098">
        <v>0</v>
      </c>
      <c r="R2098" t="s">
        <v>2911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97.2</v>
      </c>
      <c r="L2099" s="39">
        <f t="shared" si="133"/>
        <v>0.97199999999999998</v>
      </c>
      <c r="M2099" s="39">
        <f t="shared" si="132"/>
        <v>0.97199999999999998</v>
      </c>
      <c r="P2099">
        <v>0</v>
      </c>
      <c r="Q2099">
        <v>0</v>
      </c>
      <c r="R2099" t="s">
        <v>2912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97.78</v>
      </c>
      <c r="L2100" s="39">
        <f t="shared" si="133"/>
        <v>0.9778</v>
      </c>
      <c r="M2100" s="39">
        <f t="shared" si="132"/>
        <v>0.9778</v>
      </c>
      <c r="P2100">
        <v>0</v>
      </c>
      <c r="Q2100">
        <v>0</v>
      </c>
      <c r="R2100" t="s">
        <v>1174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246.7</v>
      </c>
      <c r="L2101" s="39">
        <f t="shared" si="133"/>
        <v>1</v>
      </c>
      <c r="M2101" s="39">
        <f t="shared" si="132"/>
        <v>2.4670000000000001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105.83</v>
      </c>
      <c r="L2102" s="39">
        <f t="shared" si="133"/>
        <v>1</v>
      </c>
      <c r="M2102" s="39">
        <f t="shared" si="132"/>
        <v>1.0583</v>
      </c>
      <c r="N2102" t="s">
        <v>25</v>
      </c>
      <c r="O2102" t="s">
        <v>25</v>
      </c>
      <c r="P2102">
        <v>0</v>
      </c>
      <c r="Q2102">
        <v>0</v>
      </c>
      <c r="R2102" t="s">
        <v>2914</v>
      </c>
    </row>
    <row r="2103" spans="1:18" hidden="1" x14ac:dyDescent="0.3">
      <c r="A2103">
        <v>418</v>
      </c>
      <c r="B2103" t="s">
        <v>1172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93.96</v>
      </c>
      <c r="L2103" s="39">
        <f t="shared" si="133"/>
        <v>0.93959999999999999</v>
      </c>
      <c r="M2103" s="39">
        <f t="shared" si="132"/>
        <v>0.93959999999999999</v>
      </c>
      <c r="N2103" t="s">
        <v>25</v>
      </c>
      <c r="O2103" t="s">
        <v>25</v>
      </c>
      <c r="P2103">
        <v>0</v>
      </c>
      <c r="Q2103">
        <v>0</v>
      </c>
      <c r="R2103" t="s">
        <v>2915</v>
      </c>
    </row>
    <row r="2104" spans="1:18" hidden="1" x14ac:dyDescent="0.3">
      <c r="A2104">
        <v>418</v>
      </c>
      <c r="B2104" t="s">
        <v>1172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99.61</v>
      </c>
      <c r="L2104" s="39">
        <f t="shared" si="133"/>
        <v>0.99609999999999999</v>
      </c>
      <c r="M2104" s="39">
        <f t="shared" si="132"/>
        <v>0.99609999999999999</v>
      </c>
      <c r="N2104" t="s">
        <v>25</v>
      </c>
      <c r="O2104" t="s">
        <v>25</v>
      </c>
      <c r="P2104">
        <v>0</v>
      </c>
      <c r="Q2104">
        <v>0</v>
      </c>
      <c r="R2104" t="s">
        <v>1175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45107</v>
      </c>
      <c r="G2105">
        <v>2023</v>
      </c>
      <c r="H2105" t="s">
        <v>699</v>
      </c>
      <c r="I2105" t="s">
        <v>1512</v>
      </c>
      <c r="J2105">
        <v>100</v>
      </c>
      <c r="K2105">
        <v>108.3</v>
      </c>
      <c r="L2105" s="39">
        <f>IFERROR(IF(OR(J2105=0,K2105=""),"",IF(E2105="Positivo",MIN(MAX(K2105/J2105,0),1.3),MIN(MAX(J2105/K2105,0),1.3))),"")</f>
        <v>1.083</v>
      </c>
      <c r="M2105" s="39">
        <f t="shared" si="132"/>
        <v>1.083</v>
      </c>
      <c r="N2105" t="s">
        <v>25</v>
      </c>
      <c r="O2105" t="s">
        <v>25</v>
      </c>
      <c r="P2105">
        <v>0</v>
      </c>
      <c r="Q2105">
        <v>0</v>
      </c>
      <c r="R2105" t="s">
        <v>2916</v>
      </c>
    </row>
    <row r="2106" spans="1:18" hidden="1" x14ac:dyDescent="0.3">
      <c r="A2106">
        <v>419</v>
      </c>
      <c r="B2106" t="s">
        <v>1176</v>
      </c>
      <c r="D2106" t="s">
        <v>21</v>
      </c>
      <c r="E2106" t="s">
        <v>22</v>
      </c>
      <c r="F2106" s="79">
        <v>45199</v>
      </c>
      <c r="G2106">
        <v>2023</v>
      </c>
      <c r="H2106" t="s">
        <v>162</v>
      </c>
      <c r="I2106" t="s">
        <v>28</v>
      </c>
      <c r="J2106">
        <v>100</v>
      </c>
      <c r="K2106">
        <v>88.35</v>
      </c>
      <c r="L2106" s="39">
        <f>IFERROR(IF(OR(J2106=0,K2106=""),"",IF(E2106="Positivo",MIN(MAX(K2106/J2106,0),1.3),MIN(MAX(J2106/K2106,0),1.3))),"")</f>
        <v>0.88349999999999995</v>
      </c>
      <c r="M2106" s="39">
        <f t="shared" si="132"/>
        <v>0.88349999999999995</v>
      </c>
      <c r="N2106" t="s">
        <v>25</v>
      </c>
      <c r="O2106" t="s">
        <v>25</v>
      </c>
      <c r="P2106">
        <v>0</v>
      </c>
      <c r="Q2106">
        <v>0</v>
      </c>
      <c r="R2106" t="s">
        <v>2917</v>
      </c>
    </row>
    <row r="2107" spans="1:18" hidden="1" x14ac:dyDescent="0.3">
      <c r="A2107">
        <v>419</v>
      </c>
      <c r="B2107" t="s">
        <v>1176</v>
      </c>
      <c r="D2107" t="s">
        <v>21</v>
      </c>
      <c r="E2107" t="s">
        <v>22</v>
      </c>
      <c r="F2107" s="79">
        <v>45291</v>
      </c>
      <c r="G2107">
        <v>2023</v>
      </c>
      <c r="H2107" t="s">
        <v>23</v>
      </c>
      <c r="I2107" t="s">
        <v>28</v>
      </c>
      <c r="J2107">
        <v>100</v>
      </c>
      <c r="K2107">
        <v>93.56</v>
      </c>
      <c r="L2107" s="39">
        <f>IFERROR(IF(OR(J2107=0,K2107=""),"",IF(E2107="Positivo",MIN(MAX(K2107/J2107,0),1.3),MIN(MAX(J2107/K2107,0),1.3))),"")</f>
        <v>0.93559999999999999</v>
      </c>
      <c r="M2107" s="39">
        <f t="shared" ref="M2107:M2137" si="134">IFERROR(IF(OR(J2107=0,K2107=""),"",IF(E2107="Positivo",MAX(K2107/J2107,0),MAX(J2107/K2107,0))),"")</f>
        <v>0.93559999999999999</v>
      </c>
      <c r="N2107" t="s">
        <v>25</v>
      </c>
      <c r="O2107" t="s">
        <v>25</v>
      </c>
      <c r="P2107">
        <v>0</v>
      </c>
      <c r="Q2107">
        <v>0</v>
      </c>
      <c r="R2107" t="s">
        <v>1177</v>
      </c>
    </row>
    <row r="2108" spans="1:18" hidden="1" x14ac:dyDescent="0.3">
      <c r="A2108">
        <v>420</v>
      </c>
      <c r="B2108" t="s">
        <v>1178</v>
      </c>
      <c r="C2108" t="s">
        <v>567</v>
      </c>
      <c r="D2108" t="s">
        <v>27</v>
      </c>
      <c r="E2108" t="s">
        <v>22</v>
      </c>
      <c r="F2108" s="79">
        <v>45016</v>
      </c>
      <c r="G2108">
        <v>2023</v>
      </c>
      <c r="H2108" t="s">
        <v>1516</v>
      </c>
      <c r="I2108" t="s">
        <v>1512</v>
      </c>
      <c r="J2108">
        <v>100</v>
      </c>
      <c r="K2108">
        <v>0</v>
      </c>
      <c r="L2108" s="39">
        <f t="shared" ref="L2108:L2118" si="135">IFERROR(IF(OR(J2108=0,K2108=""),"",IF(E2108="Positivo",MIN(MAX(K2108/J2108,0),1),MIN(MAX(J2108/K2108,0),1))),"")</f>
        <v>0</v>
      </c>
      <c r="M2108" s="39">
        <f t="shared" si="134"/>
        <v>0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45107</v>
      </c>
      <c r="G2109">
        <v>2023</v>
      </c>
      <c r="H2109" t="s">
        <v>699</v>
      </c>
      <c r="I2109" t="s">
        <v>1512</v>
      </c>
      <c r="J2109">
        <v>100</v>
      </c>
      <c r="K2109">
        <v>106.53</v>
      </c>
      <c r="L2109" s="39">
        <f t="shared" si="135"/>
        <v>1</v>
      </c>
      <c r="M2109" s="39">
        <f t="shared" si="134"/>
        <v>1.0652999999999999</v>
      </c>
      <c r="N2109" t="s">
        <v>25</v>
      </c>
      <c r="O2109" t="s">
        <v>25</v>
      </c>
      <c r="P2109">
        <v>0</v>
      </c>
      <c r="Q2109">
        <v>0</v>
      </c>
      <c r="R2109" t="s">
        <v>2919</v>
      </c>
    </row>
    <row r="2110" spans="1:18" hidden="1" x14ac:dyDescent="0.3">
      <c r="A2110">
        <v>420</v>
      </c>
      <c r="B2110" t="s">
        <v>1178</v>
      </c>
      <c r="D2110" t="s">
        <v>21</v>
      </c>
      <c r="E2110" t="s">
        <v>22</v>
      </c>
      <c r="F2110" s="79">
        <v>45199</v>
      </c>
      <c r="G2110">
        <v>2023</v>
      </c>
      <c r="H2110" t="s">
        <v>162</v>
      </c>
      <c r="I2110" t="s">
        <v>28</v>
      </c>
      <c r="J2110">
        <v>100</v>
      </c>
      <c r="K2110">
        <v>94.69</v>
      </c>
      <c r="L2110" s="39">
        <f t="shared" si="135"/>
        <v>0.94689999999999996</v>
      </c>
      <c r="M2110" s="39">
        <f t="shared" si="134"/>
        <v>0.94689999999999996</v>
      </c>
      <c r="N2110" t="s">
        <v>25</v>
      </c>
      <c r="O2110" t="s">
        <v>25</v>
      </c>
      <c r="P2110">
        <v>0</v>
      </c>
      <c r="Q2110">
        <v>0</v>
      </c>
      <c r="R2110" t="s">
        <v>2920</v>
      </c>
    </row>
    <row r="2111" spans="1:18" hidden="1" x14ac:dyDescent="0.3">
      <c r="A2111">
        <v>420</v>
      </c>
      <c r="B2111" t="s">
        <v>1178</v>
      </c>
      <c r="D2111" t="s">
        <v>21</v>
      </c>
      <c r="E2111" t="s">
        <v>22</v>
      </c>
      <c r="F2111" s="79">
        <v>45291</v>
      </c>
      <c r="G2111">
        <v>2023</v>
      </c>
      <c r="H2111" t="s">
        <v>23</v>
      </c>
      <c r="I2111" t="s">
        <v>28</v>
      </c>
      <c r="J2111">
        <v>100</v>
      </c>
      <c r="K2111">
        <v>100</v>
      </c>
      <c r="L2111" s="39">
        <f t="shared" si="135"/>
        <v>1</v>
      </c>
      <c r="M2111" s="39">
        <f t="shared" si="134"/>
        <v>1</v>
      </c>
      <c r="N2111" t="s">
        <v>25</v>
      </c>
      <c r="O2111" t="s">
        <v>25</v>
      </c>
      <c r="P2111">
        <v>0</v>
      </c>
      <c r="Q2111">
        <v>0</v>
      </c>
      <c r="R2111" t="s">
        <v>1179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45473</v>
      </c>
      <c r="G2112">
        <v>2024</v>
      </c>
      <c r="H2112" t="s">
        <v>699</v>
      </c>
      <c r="I2112" t="s">
        <v>729</v>
      </c>
      <c r="J2112">
        <v>100</v>
      </c>
      <c r="K2112">
        <v>89.33</v>
      </c>
      <c r="L2112" s="39">
        <f t="shared" si="135"/>
        <v>0.89329999999999998</v>
      </c>
      <c r="M2112" s="39">
        <f t="shared" si="134"/>
        <v>0.89329999999999998</v>
      </c>
      <c r="N2112" t="s">
        <v>25</v>
      </c>
      <c r="O2112" t="s">
        <v>25</v>
      </c>
      <c r="P2112">
        <v>0</v>
      </c>
      <c r="Q2112">
        <v>0</v>
      </c>
      <c r="R2112" t="s">
        <v>2921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21</v>
      </c>
      <c r="E2113" t="s">
        <v>22</v>
      </c>
      <c r="F2113" s="79">
        <v>45565</v>
      </c>
      <c r="G2113">
        <v>2024</v>
      </c>
      <c r="H2113" t="s">
        <v>162</v>
      </c>
      <c r="I2113" t="s">
        <v>30</v>
      </c>
      <c r="J2113">
        <v>100</v>
      </c>
      <c r="K2113">
        <v>102.36</v>
      </c>
      <c r="L2113" s="39">
        <f t="shared" si="135"/>
        <v>1</v>
      </c>
      <c r="M2113" s="39">
        <f t="shared" si="134"/>
        <v>1.0236000000000001</v>
      </c>
      <c r="N2113" t="s">
        <v>25</v>
      </c>
      <c r="O2113" t="s">
        <v>25</v>
      </c>
      <c r="P2113">
        <v>0</v>
      </c>
      <c r="Q2113">
        <v>0</v>
      </c>
      <c r="R2113" t="s">
        <v>2922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21</v>
      </c>
      <c r="E2114" t="s">
        <v>22</v>
      </c>
      <c r="F2114" s="79">
        <v>45657</v>
      </c>
      <c r="G2114">
        <v>2024</v>
      </c>
      <c r="H2114" t="s">
        <v>23</v>
      </c>
      <c r="I2114" t="s">
        <v>30</v>
      </c>
      <c r="J2114">
        <v>100</v>
      </c>
      <c r="K2114">
        <v>96.67</v>
      </c>
      <c r="L2114" s="39">
        <f t="shared" si="135"/>
        <v>0.9667</v>
      </c>
      <c r="M2114" s="39">
        <f t="shared" si="134"/>
        <v>0.9667</v>
      </c>
      <c r="N2114" t="s">
        <v>25</v>
      </c>
      <c r="O2114" t="s">
        <v>25</v>
      </c>
      <c r="P2114">
        <v>0</v>
      </c>
      <c r="Q2114">
        <v>0</v>
      </c>
      <c r="R2114" t="s">
        <v>1180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45747</v>
      </c>
      <c r="G2115">
        <v>2025</v>
      </c>
      <c r="H2115" t="s">
        <v>1516</v>
      </c>
      <c r="I2115" t="s">
        <v>700</v>
      </c>
      <c r="J2115">
        <v>100</v>
      </c>
      <c r="K2115">
        <v>122.2</v>
      </c>
      <c r="L2115" s="39">
        <f t="shared" si="135"/>
        <v>1</v>
      </c>
      <c r="M2115" s="39">
        <f t="shared" si="134"/>
        <v>1.222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45838</v>
      </c>
      <c r="G2116">
        <v>2025</v>
      </c>
      <c r="H2116" t="s">
        <v>699</v>
      </c>
      <c r="I2116" t="s">
        <v>700</v>
      </c>
      <c r="J2116">
        <v>100</v>
      </c>
      <c r="K2116">
        <v>108.52</v>
      </c>
      <c r="L2116" s="39">
        <f t="shared" si="135"/>
        <v>1</v>
      </c>
      <c r="M2116" s="39">
        <f t="shared" si="134"/>
        <v>1.0851999999999999</v>
      </c>
      <c r="N2116" t="s">
        <v>25</v>
      </c>
      <c r="O2116" t="s">
        <v>25</v>
      </c>
      <c r="P2116">
        <v>0</v>
      </c>
      <c r="Q2116">
        <v>0</v>
      </c>
      <c r="R2116" t="s">
        <v>2924</v>
      </c>
    </row>
    <row r="2117" spans="1:18" hidden="1" x14ac:dyDescent="0.3">
      <c r="A2117">
        <v>420</v>
      </c>
      <c r="B2117" t="s">
        <v>1178</v>
      </c>
      <c r="C2117" t="s">
        <v>567</v>
      </c>
      <c r="D2117" t="s">
        <v>27</v>
      </c>
      <c r="E2117" t="s">
        <v>22</v>
      </c>
      <c r="F2117" s="79">
        <v>45930</v>
      </c>
      <c r="G2117">
        <v>2025</v>
      </c>
      <c r="H2117" t="s">
        <v>162</v>
      </c>
      <c r="I2117" t="s">
        <v>32</v>
      </c>
      <c r="J2117">
        <v>100</v>
      </c>
      <c r="K2117">
        <v>100.3</v>
      </c>
      <c r="L2117" s="39">
        <f t="shared" si="135"/>
        <v>1</v>
      </c>
      <c r="M2117" s="39">
        <f t="shared" si="134"/>
        <v>1.0029999999999999</v>
      </c>
      <c r="N2117" t="s">
        <v>25</v>
      </c>
      <c r="O2117" t="s">
        <v>25</v>
      </c>
      <c r="P2117">
        <v>0</v>
      </c>
      <c r="Q2117">
        <v>0</v>
      </c>
      <c r="R2117" t="s">
        <v>2925</v>
      </c>
    </row>
    <row r="2118" spans="1:18" hidden="1" x14ac:dyDescent="0.3">
      <c r="A2118">
        <v>420</v>
      </c>
      <c r="B2118" t="s">
        <v>1178</v>
      </c>
      <c r="C2118" t="s">
        <v>567</v>
      </c>
      <c r="D2118" t="s">
        <v>27</v>
      </c>
      <c r="E2118" t="s">
        <v>22</v>
      </c>
      <c r="F2118" s="79">
        <v>46022</v>
      </c>
      <c r="G2118">
        <v>2025</v>
      </c>
      <c r="H2118" t="s">
        <v>23</v>
      </c>
      <c r="I2118" t="s">
        <v>32</v>
      </c>
      <c r="J2118">
        <v>100</v>
      </c>
      <c r="K2118">
        <v>100</v>
      </c>
      <c r="L2118" s="39">
        <f t="shared" si="135"/>
        <v>1</v>
      </c>
      <c r="M2118" s="39">
        <f t="shared" si="134"/>
        <v>1</v>
      </c>
      <c r="N2118" t="s">
        <v>25</v>
      </c>
      <c r="O2118" t="s">
        <v>25</v>
      </c>
      <c r="P2118">
        <v>0</v>
      </c>
      <c r="Q2118">
        <v>0</v>
      </c>
      <c r="R2118" t="s">
        <v>1181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45107</v>
      </c>
      <c r="G2119">
        <v>2023</v>
      </c>
      <c r="H2119" t="s">
        <v>699</v>
      </c>
      <c r="I2119" t="s">
        <v>1512</v>
      </c>
      <c r="J2119">
        <v>104072</v>
      </c>
      <c r="K2119">
        <v>140002</v>
      </c>
      <c r="L2119" s="39">
        <f t="shared" ref="L2119:L2137" si="136">IFERROR(IF(OR(J2119=0,K2119=""),"",IF(E2119="Positivo",MIN(MAX(K2119/J2119,0),1.3),MIN(MAX(J2119/K2119,0),1.3))),"")</f>
        <v>1.3</v>
      </c>
      <c r="M2119" s="39">
        <f t="shared" si="134"/>
        <v>1.3452417557075871</v>
      </c>
      <c r="N2119" t="s">
        <v>25</v>
      </c>
      <c r="O2119" t="s">
        <v>25</v>
      </c>
      <c r="P2119">
        <v>0</v>
      </c>
      <c r="Q2119">
        <v>0</v>
      </c>
      <c r="R2119" t="s">
        <v>2926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45291</v>
      </c>
      <c r="G2120">
        <v>2023</v>
      </c>
      <c r="H2120" t="s">
        <v>23</v>
      </c>
      <c r="I2120" t="s">
        <v>28</v>
      </c>
      <c r="J2120">
        <v>97200</v>
      </c>
      <c r="K2120">
        <v>136199</v>
      </c>
      <c r="L2120" s="39">
        <f t="shared" si="136"/>
        <v>1.3</v>
      </c>
      <c r="M2120" s="39">
        <f t="shared" si="134"/>
        <v>1.4012242798353909</v>
      </c>
      <c r="N2120" t="s">
        <v>25</v>
      </c>
      <c r="O2120" t="s">
        <v>25</v>
      </c>
      <c r="P2120">
        <v>0</v>
      </c>
      <c r="Q2120">
        <v>0</v>
      </c>
      <c r="R2120" t="s">
        <v>1184</v>
      </c>
    </row>
    <row r="2121" spans="1:18" hidden="1" x14ac:dyDescent="0.3">
      <c r="A2121">
        <v>421</v>
      </c>
      <c r="B2121" t="s">
        <v>1182</v>
      </c>
      <c r="C2121" t="s">
        <v>1183</v>
      </c>
      <c r="D2121" t="s">
        <v>27</v>
      </c>
      <c r="E2121" t="s">
        <v>22</v>
      </c>
      <c r="F2121" s="79">
        <v>45473</v>
      </c>
      <c r="G2121">
        <v>2024</v>
      </c>
      <c r="H2121" t="s">
        <v>699</v>
      </c>
      <c r="I2121" t="s">
        <v>729</v>
      </c>
      <c r="J2121">
        <v>147043</v>
      </c>
      <c r="K2121">
        <v>177740</v>
      </c>
      <c r="L2121" s="39">
        <f t="shared" si="136"/>
        <v>1.2087620627979572</v>
      </c>
      <c r="M2121" s="39">
        <f t="shared" si="134"/>
        <v>1.2087620627979572</v>
      </c>
      <c r="N2121" t="s">
        <v>25</v>
      </c>
      <c r="O2121" t="s">
        <v>25</v>
      </c>
      <c r="P2121">
        <v>0</v>
      </c>
      <c r="Q2121">
        <v>0</v>
      </c>
      <c r="R2121" t="s">
        <v>2927</v>
      </c>
    </row>
    <row r="2122" spans="1:18" hidden="1" x14ac:dyDescent="0.3">
      <c r="A2122">
        <v>421</v>
      </c>
      <c r="B2122" t="s">
        <v>1182</v>
      </c>
      <c r="C2122" t="s">
        <v>1183</v>
      </c>
      <c r="D2122" t="s">
        <v>27</v>
      </c>
      <c r="E2122" t="s">
        <v>22</v>
      </c>
      <c r="F2122" s="79">
        <v>45657</v>
      </c>
      <c r="G2122">
        <v>2024</v>
      </c>
      <c r="H2122" t="s">
        <v>23</v>
      </c>
      <c r="I2122" t="s">
        <v>30</v>
      </c>
      <c r="J2122">
        <v>100</v>
      </c>
      <c r="K2122">
        <v>121.44</v>
      </c>
      <c r="L2122" s="39">
        <f t="shared" si="136"/>
        <v>1.2143999999999999</v>
      </c>
      <c r="M2122" s="39">
        <f t="shared" si="134"/>
        <v>1.2143999999999999</v>
      </c>
      <c r="P2122">
        <v>0</v>
      </c>
      <c r="Q2122">
        <v>0</v>
      </c>
      <c r="R2122" t="s">
        <v>1185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45107</v>
      </c>
      <c r="G2123">
        <v>2023</v>
      </c>
      <c r="H2123" t="s">
        <v>699</v>
      </c>
      <c r="I2123" t="s">
        <v>1512</v>
      </c>
      <c r="J2123">
        <v>11.7</v>
      </c>
      <c r="K2123">
        <v>11.973211368834001</v>
      </c>
      <c r="L2123" s="39">
        <f t="shared" si="136"/>
        <v>1.0233513990456411</v>
      </c>
      <c r="M2123" s="39">
        <f t="shared" si="134"/>
        <v>1.0233513990456411</v>
      </c>
      <c r="N2123" t="s">
        <v>25</v>
      </c>
      <c r="O2123" t="s">
        <v>25</v>
      </c>
      <c r="P2123">
        <v>2</v>
      </c>
      <c r="Q2123">
        <v>2</v>
      </c>
      <c r="R2123" t="s">
        <v>2928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45291</v>
      </c>
      <c r="G2124">
        <v>2023</v>
      </c>
      <c r="H2124" t="s">
        <v>23</v>
      </c>
      <c r="I2124" t="s">
        <v>28</v>
      </c>
      <c r="J2124">
        <v>10.5</v>
      </c>
      <c r="K2124">
        <v>11.04</v>
      </c>
      <c r="L2124" s="39">
        <f t="shared" si="136"/>
        <v>1.0514285714285714</v>
      </c>
      <c r="M2124" s="39">
        <f t="shared" si="134"/>
        <v>1.0514285714285714</v>
      </c>
      <c r="N2124" t="s">
        <v>25</v>
      </c>
      <c r="O2124" t="s">
        <v>25</v>
      </c>
      <c r="P2124">
        <v>2</v>
      </c>
      <c r="Q2124">
        <v>2</v>
      </c>
      <c r="R2124" t="s">
        <v>1187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27</v>
      </c>
      <c r="E2125" t="s">
        <v>22</v>
      </c>
      <c r="F2125" s="79">
        <v>45473</v>
      </c>
      <c r="G2125">
        <v>2024</v>
      </c>
      <c r="H2125" t="s">
        <v>699</v>
      </c>
      <c r="I2125" t="s">
        <v>729</v>
      </c>
      <c r="J2125">
        <v>9.25</v>
      </c>
      <c r="K2125">
        <v>8.86</v>
      </c>
      <c r="L2125" s="39">
        <f t="shared" si="136"/>
        <v>0.95783783783783782</v>
      </c>
      <c r="M2125" s="39">
        <f t="shared" si="134"/>
        <v>0.95783783783783782</v>
      </c>
      <c r="N2125" t="s">
        <v>25</v>
      </c>
      <c r="O2125" t="s">
        <v>25</v>
      </c>
      <c r="P2125">
        <v>2</v>
      </c>
      <c r="Q2125">
        <v>2</v>
      </c>
      <c r="R2125" t="s">
        <v>2929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27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8.01</v>
      </c>
      <c r="K2126">
        <v>7.91</v>
      </c>
      <c r="L2126" s="39">
        <f t="shared" si="136"/>
        <v>0.98751560549313366</v>
      </c>
      <c r="M2126" s="39">
        <f t="shared" si="134"/>
        <v>0.98751560549313366</v>
      </c>
      <c r="N2126" t="s">
        <v>25</v>
      </c>
      <c r="O2126" t="s">
        <v>25</v>
      </c>
      <c r="P2126">
        <v>2</v>
      </c>
      <c r="Q2126">
        <v>2</v>
      </c>
      <c r="R2126" t="s">
        <v>1188</v>
      </c>
    </row>
    <row r="2127" spans="1:18" hidden="1" x14ac:dyDescent="0.3">
      <c r="A2127">
        <v>422</v>
      </c>
      <c r="B2127" t="s">
        <v>1186</v>
      </c>
      <c r="C2127" t="s">
        <v>1183</v>
      </c>
      <c r="D2127" t="s">
        <v>21</v>
      </c>
      <c r="E2127" t="s">
        <v>22</v>
      </c>
      <c r="F2127" s="79">
        <v>45838</v>
      </c>
      <c r="G2127">
        <v>2025</v>
      </c>
      <c r="H2127" t="s">
        <v>699</v>
      </c>
      <c r="I2127" t="s">
        <v>700</v>
      </c>
      <c r="J2127">
        <v>7.83</v>
      </c>
      <c r="K2127">
        <v>8.1999999999999993</v>
      </c>
      <c r="L2127" s="39">
        <f t="shared" si="136"/>
        <v>1.0472541507024264</v>
      </c>
      <c r="M2127" s="39">
        <f t="shared" si="134"/>
        <v>1.0472541507024264</v>
      </c>
      <c r="N2127" t="s">
        <v>25</v>
      </c>
      <c r="O2127" t="s">
        <v>25</v>
      </c>
      <c r="P2127">
        <v>2</v>
      </c>
      <c r="Q2127">
        <v>2</v>
      </c>
      <c r="R2127" t="s">
        <v>2930</v>
      </c>
    </row>
    <row r="2128" spans="1:18" hidden="1" x14ac:dyDescent="0.3">
      <c r="A2128">
        <v>422</v>
      </c>
      <c r="B2128" t="s">
        <v>1186</v>
      </c>
      <c r="C2128" t="s">
        <v>1183</v>
      </c>
      <c r="D2128" t="s">
        <v>21</v>
      </c>
      <c r="E2128" t="s">
        <v>22</v>
      </c>
      <c r="F2128" s="79">
        <v>46022</v>
      </c>
      <c r="G2128">
        <v>2025</v>
      </c>
      <c r="H2128" t="s">
        <v>23</v>
      </c>
      <c r="I2128" t="s">
        <v>32</v>
      </c>
      <c r="J2128">
        <v>7.68</v>
      </c>
      <c r="K2128">
        <v>7.87</v>
      </c>
      <c r="L2128" s="39">
        <f t="shared" si="136"/>
        <v>1.0247395833333335</v>
      </c>
      <c r="M2128" s="39">
        <f t="shared" si="134"/>
        <v>1.0247395833333335</v>
      </c>
      <c r="N2128" t="s">
        <v>25</v>
      </c>
      <c r="O2128" t="s">
        <v>25</v>
      </c>
      <c r="P2128">
        <v>2</v>
      </c>
      <c r="Q2128">
        <v>2</v>
      </c>
      <c r="R2128" t="s">
        <v>1189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45291</v>
      </c>
      <c r="G2129">
        <v>2023</v>
      </c>
      <c r="H2129" t="s">
        <v>23</v>
      </c>
      <c r="I2129" t="s">
        <v>28</v>
      </c>
      <c r="J2129">
        <v>8.4</v>
      </c>
      <c r="K2129">
        <v>7.9</v>
      </c>
      <c r="L2129" s="39">
        <f t="shared" si="136"/>
        <v>0.94047619047619047</v>
      </c>
      <c r="M2129" s="39">
        <f t="shared" si="134"/>
        <v>0.94047619047619047</v>
      </c>
      <c r="N2129" t="s">
        <v>25</v>
      </c>
      <c r="O2129" t="s">
        <v>25</v>
      </c>
      <c r="P2129">
        <v>1</v>
      </c>
      <c r="Q2129">
        <v>1</v>
      </c>
      <c r="R2129" t="s">
        <v>1191</v>
      </c>
    </row>
    <row r="2130" spans="1:18" hidden="1" x14ac:dyDescent="0.3">
      <c r="A2130">
        <v>423</v>
      </c>
      <c r="B2130" t="s">
        <v>1190</v>
      </c>
      <c r="C2130" t="s">
        <v>1183</v>
      </c>
      <c r="D2130" t="s">
        <v>71</v>
      </c>
      <c r="E2130" t="s">
        <v>22</v>
      </c>
      <c r="F2130" s="79">
        <v>45657</v>
      </c>
      <c r="G2130">
        <v>2024</v>
      </c>
      <c r="H2130" t="s">
        <v>23</v>
      </c>
      <c r="I2130" t="s">
        <v>30</v>
      </c>
      <c r="J2130">
        <v>8.3000000000000007</v>
      </c>
      <c r="K2130">
        <v>12.3</v>
      </c>
      <c r="L2130" s="39">
        <f t="shared" si="136"/>
        <v>1.3</v>
      </c>
      <c r="M2130" s="39">
        <f t="shared" si="134"/>
        <v>1.4819277108433735</v>
      </c>
      <c r="P2130">
        <v>1</v>
      </c>
      <c r="Q2130">
        <v>1</v>
      </c>
      <c r="R2130" t="s">
        <v>1192</v>
      </c>
    </row>
    <row r="2131" spans="1:18" hidden="1" x14ac:dyDescent="0.3">
      <c r="A2131">
        <v>423</v>
      </c>
      <c r="B2131" t="s">
        <v>1190</v>
      </c>
      <c r="C2131" t="s">
        <v>1183</v>
      </c>
      <c r="D2131" t="s">
        <v>71</v>
      </c>
      <c r="E2131" t="s">
        <v>22</v>
      </c>
      <c r="F2131" s="79">
        <v>46022</v>
      </c>
      <c r="G2131">
        <v>2025</v>
      </c>
      <c r="H2131" t="s">
        <v>23</v>
      </c>
      <c r="I2131" t="s">
        <v>32</v>
      </c>
      <c r="J2131">
        <v>12.3</v>
      </c>
      <c r="K2131">
        <v>15.1</v>
      </c>
      <c r="L2131" s="39">
        <f t="shared" si="136"/>
        <v>1.2276422764227641</v>
      </c>
      <c r="M2131" s="39">
        <f t="shared" si="134"/>
        <v>1.2276422764227641</v>
      </c>
      <c r="N2131" t="s">
        <v>136</v>
      </c>
      <c r="O2131" t="s">
        <v>136</v>
      </c>
      <c r="P2131">
        <v>1</v>
      </c>
      <c r="Q2131">
        <v>1</v>
      </c>
      <c r="R2131" t="s">
        <v>1193</v>
      </c>
    </row>
    <row r="2132" spans="1:18" hidden="1" x14ac:dyDescent="0.3">
      <c r="A2132">
        <v>424</v>
      </c>
      <c r="B2132" t="s">
        <v>1194</v>
      </c>
      <c r="C2132" t="s">
        <v>1183</v>
      </c>
      <c r="D2132" t="s">
        <v>71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92</v>
      </c>
      <c r="K2132">
        <v>6</v>
      </c>
      <c r="L2132" s="39">
        <f t="shared" si="136"/>
        <v>6.5217391304347824E-2</v>
      </c>
      <c r="M2132" s="39">
        <f t="shared" si="134"/>
        <v>6.5217391304347824E-2</v>
      </c>
      <c r="P2132">
        <v>0</v>
      </c>
      <c r="Q2132">
        <v>0</v>
      </c>
      <c r="R2132" t="s">
        <v>1195</v>
      </c>
    </row>
    <row r="2133" spans="1:18" hidden="1" x14ac:dyDescent="0.3">
      <c r="A2133">
        <v>424</v>
      </c>
      <c r="B2133" t="s">
        <v>1194</v>
      </c>
      <c r="C2133" t="s">
        <v>1183</v>
      </c>
      <c r="D2133" t="s">
        <v>71</v>
      </c>
      <c r="E2133" t="s">
        <v>22</v>
      </c>
      <c r="F2133" s="79">
        <v>45657</v>
      </c>
      <c r="G2133">
        <v>2024</v>
      </c>
      <c r="H2133" t="s">
        <v>23</v>
      </c>
      <c r="I2133" t="s">
        <v>30</v>
      </c>
      <c r="J2133">
        <v>7</v>
      </c>
      <c r="K2133">
        <v>9</v>
      </c>
      <c r="L2133" s="39">
        <f t="shared" si="136"/>
        <v>1.2857142857142858</v>
      </c>
      <c r="M2133" s="39">
        <f t="shared" si="134"/>
        <v>1.2857142857142858</v>
      </c>
      <c r="P2133">
        <v>0</v>
      </c>
      <c r="Q2133">
        <v>0</v>
      </c>
      <c r="R2133" t="s">
        <v>1196</v>
      </c>
    </row>
    <row r="2134" spans="1:18" hidden="1" x14ac:dyDescent="0.3">
      <c r="A2134">
        <v>424</v>
      </c>
      <c r="B2134" t="s">
        <v>2931</v>
      </c>
      <c r="C2134" t="s">
        <v>1183</v>
      </c>
      <c r="D2134" t="s">
        <v>71</v>
      </c>
      <c r="E2134" t="s">
        <v>22</v>
      </c>
      <c r="F2134" s="79">
        <v>46022</v>
      </c>
      <c r="G2134">
        <v>2025</v>
      </c>
      <c r="H2134" t="s">
        <v>23</v>
      </c>
      <c r="I2134" t="s">
        <v>32</v>
      </c>
      <c r="J2134">
        <v>9</v>
      </c>
      <c r="K2134">
        <v>11</v>
      </c>
      <c r="L2134" s="39">
        <f t="shared" si="136"/>
        <v>1.2222222222222223</v>
      </c>
      <c r="M2134" s="39">
        <f t="shared" si="134"/>
        <v>1.2222222222222223</v>
      </c>
      <c r="N2134" t="s">
        <v>128</v>
      </c>
      <c r="O2134" t="s">
        <v>128</v>
      </c>
      <c r="P2134">
        <v>0</v>
      </c>
      <c r="Q2134">
        <v>0</v>
      </c>
      <c r="R2134" t="s">
        <v>1197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71</v>
      </c>
      <c r="E2135" t="s">
        <v>22</v>
      </c>
      <c r="F2135" s="79">
        <v>45291</v>
      </c>
      <c r="G2135">
        <v>2023</v>
      </c>
      <c r="H2135" t="s">
        <v>23</v>
      </c>
      <c r="I2135" t="s">
        <v>28</v>
      </c>
      <c r="J2135">
        <v>5500</v>
      </c>
      <c r="K2135">
        <v>5785</v>
      </c>
      <c r="L2135" s="39">
        <f t="shared" si="136"/>
        <v>1.0518181818181818</v>
      </c>
      <c r="M2135" s="39">
        <f t="shared" si="134"/>
        <v>1.0518181818181818</v>
      </c>
      <c r="N2135" t="s">
        <v>205</v>
      </c>
      <c r="O2135" t="s">
        <v>205</v>
      </c>
      <c r="P2135">
        <v>0</v>
      </c>
      <c r="Q2135">
        <v>0</v>
      </c>
      <c r="R2135" t="s">
        <v>1199</v>
      </c>
    </row>
    <row r="2136" spans="1:18" hidden="1" x14ac:dyDescent="0.3">
      <c r="A2136">
        <v>425</v>
      </c>
      <c r="B2136" t="s">
        <v>1198</v>
      </c>
      <c r="C2136" t="s">
        <v>1044</v>
      </c>
      <c r="D2136" t="s">
        <v>27</v>
      </c>
      <c r="E2136" t="s">
        <v>22</v>
      </c>
      <c r="F2136" s="79">
        <v>45473</v>
      </c>
      <c r="G2136">
        <v>2024</v>
      </c>
      <c r="H2136" t="s">
        <v>699</v>
      </c>
      <c r="I2136" t="s">
        <v>729</v>
      </c>
      <c r="J2136">
        <v>100</v>
      </c>
      <c r="K2136">
        <v>60.69</v>
      </c>
      <c r="L2136" s="39">
        <f t="shared" si="136"/>
        <v>0.6069</v>
      </c>
      <c r="M2136" s="39">
        <f t="shared" si="134"/>
        <v>0.6069</v>
      </c>
      <c r="N2136" t="s">
        <v>128</v>
      </c>
      <c r="O2136" t="s">
        <v>128</v>
      </c>
      <c r="P2136">
        <v>0</v>
      </c>
      <c r="Q2136">
        <v>0</v>
      </c>
      <c r="R2136" t="s">
        <v>2932</v>
      </c>
    </row>
    <row r="2137" spans="1:18" hidden="1" x14ac:dyDescent="0.3">
      <c r="A2137">
        <v>425</v>
      </c>
      <c r="B2137" t="s">
        <v>1198</v>
      </c>
      <c r="C2137" t="s">
        <v>1044</v>
      </c>
      <c r="D2137" t="s">
        <v>27</v>
      </c>
      <c r="E2137" t="s">
        <v>22</v>
      </c>
      <c r="F2137" s="79">
        <v>45657</v>
      </c>
      <c r="G2137">
        <v>2024</v>
      </c>
      <c r="H2137" t="s">
        <v>23</v>
      </c>
      <c r="I2137" t="s">
        <v>30</v>
      </c>
      <c r="J2137">
        <v>100</v>
      </c>
      <c r="K2137">
        <v>164.69</v>
      </c>
      <c r="L2137" s="39">
        <f t="shared" si="136"/>
        <v>1.3</v>
      </c>
      <c r="M2137" s="39">
        <f t="shared" si="134"/>
        <v>1.6469</v>
      </c>
      <c r="N2137" t="s">
        <v>128</v>
      </c>
      <c r="O2137" t="s">
        <v>128</v>
      </c>
      <c r="P2137">
        <v>0</v>
      </c>
      <c r="Q2137">
        <v>0</v>
      </c>
      <c r="R2137" t="s">
        <v>1200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45107</v>
      </c>
      <c r="G2138">
        <v>2023</v>
      </c>
      <c r="H2138" t="s">
        <v>699</v>
      </c>
      <c r="I2138" t="s">
        <v>1512</v>
      </c>
      <c r="K2138">
        <v>86.98</v>
      </c>
      <c r="L2138" s="39"/>
      <c r="M2138" s="39"/>
      <c r="N2138" t="s">
        <v>355</v>
      </c>
      <c r="O2138" t="s">
        <v>25</v>
      </c>
      <c r="P2138">
        <v>0</v>
      </c>
      <c r="Q2138">
        <v>0</v>
      </c>
      <c r="R2138" t="s">
        <v>2933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K2139">
        <v>92.31</v>
      </c>
      <c r="L2139" s="39"/>
      <c r="M2139" s="39"/>
      <c r="N2139" t="s">
        <v>355</v>
      </c>
      <c r="O2139" t="s">
        <v>25</v>
      </c>
      <c r="P2139">
        <v>0</v>
      </c>
      <c r="Q2139">
        <v>0</v>
      </c>
      <c r="R2139" t="s">
        <v>1202</v>
      </c>
    </row>
    <row r="2140" spans="1:18" hidden="1" x14ac:dyDescent="0.3">
      <c r="A2140">
        <v>426</v>
      </c>
      <c r="B2140" t="s">
        <v>1201</v>
      </c>
      <c r="C2140" t="s">
        <v>149</v>
      </c>
      <c r="D2140" t="s">
        <v>27</v>
      </c>
      <c r="E2140" t="s">
        <v>22</v>
      </c>
      <c r="F2140" s="79">
        <v>45473</v>
      </c>
      <c r="G2140">
        <v>2024</v>
      </c>
      <c r="H2140" t="s">
        <v>699</v>
      </c>
      <c r="I2140" t="s">
        <v>729</v>
      </c>
      <c r="J2140">
        <v>80</v>
      </c>
      <c r="K2140">
        <v>60.27</v>
      </c>
      <c r="L2140" s="39">
        <f t="shared" ref="L2140:L2175" si="137">IFERROR(IF(OR(J2140=0,K2140=""),"",IF(E2140="Positivo",MIN(MAX(K2140/J2140,0),1.3),MIN(MAX(J2140/K2140,0),1.3))),"")</f>
        <v>0.75337500000000002</v>
      </c>
      <c r="M2140" s="39">
        <f t="shared" ref="M2140:M2175" si="138">IFERROR(IF(OR(J2140=0,K2140=""),"",IF(E2140="Positivo",MAX(K2140/J2140,0),MAX(J2140/K2140,0))),"")</f>
        <v>0.75337500000000002</v>
      </c>
      <c r="N2140" t="s">
        <v>355</v>
      </c>
      <c r="O2140" t="s">
        <v>25</v>
      </c>
      <c r="P2140">
        <v>0</v>
      </c>
      <c r="Q2140">
        <v>0</v>
      </c>
      <c r="R2140" t="s">
        <v>2934</v>
      </c>
    </row>
    <row r="2141" spans="1:18" hidden="1" x14ac:dyDescent="0.3">
      <c r="A2141">
        <v>426</v>
      </c>
      <c r="B2141" t="s">
        <v>1201</v>
      </c>
      <c r="C2141" t="s">
        <v>149</v>
      </c>
      <c r="D2141" t="s">
        <v>27</v>
      </c>
      <c r="E2141" t="s">
        <v>22</v>
      </c>
      <c r="F2141" s="79">
        <v>45657</v>
      </c>
      <c r="G2141">
        <v>2024</v>
      </c>
      <c r="H2141" t="s">
        <v>23</v>
      </c>
      <c r="I2141" t="s">
        <v>30</v>
      </c>
      <c r="J2141">
        <v>80</v>
      </c>
      <c r="K2141">
        <v>86.72</v>
      </c>
      <c r="L2141" s="39">
        <f t="shared" si="137"/>
        <v>1.0840000000000001</v>
      </c>
      <c r="M2141" s="39">
        <f t="shared" si="138"/>
        <v>1.0840000000000001</v>
      </c>
      <c r="N2141" t="s">
        <v>355</v>
      </c>
      <c r="O2141" t="s">
        <v>25</v>
      </c>
      <c r="P2141">
        <v>0</v>
      </c>
      <c r="Q2141">
        <v>0</v>
      </c>
      <c r="R2141" t="s">
        <v>1203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45107</v>
      </c>
      <c r="G2142">
        <v>2023</v>
      </c>
      <c r="H2142" t="s">
        <v>699</v>
      </c>
      <c r="I2142" t="s">
        <v>1512</v>
      </c>
      <c r="J2142">
        <v>0.2</v>
      </c>
      <c r="K2142">
        <v>0.13666666666666999</v>
      </c>
      <c r="L2142" s="39">
        <f t="shared" si="137"/>
        <v>1.3</v>
      </c>
      <c r="M2142" s="39">
        <f t="shared" si="138"/>
        <v>1.4634146341463059</v>
      </c>
      <c r="N2142" t="s">
        <v>136</v>
      </c>
      <c r="O2142" t="s">
        <v>136</v>
      </c>
      <c r="P2142">
        <v>1</v>
      </c>
      <c r="Q2142">
        <v>2</v>
      </c>
      <c r="R2142" t="s">
        <v>2935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45291</v>
      </c>
      <c r="G2143">
        <v>2023</v>
      </c>
      <c r="H2143" t="s">
        <v>23</v>
      </c>
      <c r="I2143" t="s">
        <v>28</v>
      </c>
      <c r="J2143">
        <v>0.2</v>
      </c>
      <c r="K2143">
        <v>0.2</v>
      </c>
      <c r="L2143" s="39">
        <f t="shared" si="137"/>
        <v>1</v>
      </c>
      <c r="M2143" s="39">
        <f t="shared" si="138"/>
        <v>1</v>
      </c>
      <c r="N2143" t="s">
        <v>136</v>
      </c>
      <c r="O2143" t="s">
        <v>136</v>
      </c>
      <c r="P2143">
        <v>1</v>
      </c>
      <c r="Q2143">
        <v>2</v>
      </c>
      <c r="R2143" t="s">
        <v>1205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45473</v>
      </c>
      <c r="G2144">
        <v>2024</v>
      </c>
      <c r="H2144" t="s">
        <v>699</v>
      </c>
      <c r="I2144" t="s">
        <v>729</v>
      </c>
      <c r="J2144">
        <v>0.2</v>
      </c>
      <c r="K2144">
        <v>0.17</v>
      </c>
      <c r="L2144" s="39">
        <f t="shared" si="137"/>
        <v>1.1764705882352942</v>
      </c>
      <c r="M2144" s="39">
        <f t="shared" si="138"/>
        <v>1.1764705882352942</v>
      </c>
      <c r="N2144" t="s">
        <v>136</v>
      </c>
      <c r="O2144" t="s">
        <v>136</v>
      </c>
      <c r="P2144">
        <v>1</v>
      </c>
      <c r="Q2144">
        <v>2</v>
      </c>
      <c r="R2144" t="s">
        <v>2936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27</v>
      </c>
      <c r="E2145" t="s">
        <v>41</v>
      </c>
      <c r="F2145" s="79">
        <v>45657</v>
      </c>
      <c r="G2145">
        <v>2024</v>
      </c>
      <c r="H2145" t="s">
        <v>23</v>
      </c>
      <c r="I2145" t="s">
        <v>30</v>
      </c>
      <c r="J2145">
        <v>0.2</v>
      </c>
      <c r="K2145">
        <v>0.17</v>
      </c>
      <c r="L2145" s="39">
        <f t="shared" si="137"/>
        <v>1.1764705882352942</v>
      </c>
      <c r="M2145" s="39">
        <f t="shared" si="138"/>
        <v>1.1764705882352942</v>
      </c>
      <c r="N2145" t="s">
        <v>136</v>
      </c>
      <c r="O2145" t="s">
        <v>136</v>
      </c>
      <c r="P2145">
        <v>1</v>
      </c>
      <c r="Q2145">
        <v>2</v>
      </c>
      <c r="R2145" t="s">
        <v>1206</v>
      </c>
    </row>
    <row r="2146" spans="1:18" hidden="1" x14ac:dyDescent="0.3">
      <c r="A2146">
        <v>427</v>
      </c>
      <c r="B2146" t="s">
        <v>1204</v>
      </c>
      <c r="C2146" t="s">
        <v>190</v>
      </c>
      <c r="D2146" t="s">
        <v>27</v>
      </c>
      <c r="E2146" t="s">
        <v>41</v>
      </c>
      <c r="F2146" s="79">
        <v>45838</v>
      </c>
      <c r="G2146">
        <v>2025</v>
      </c>
      <c r="H2146" t="s">
        <v>699</v>
      </c>
      <c r="I2146" t="s">
        <v>700</v>
      </c>
      <c r="J2146">
        <v>0.2</v>
      </c>
      <c r="K2146">
        <v>0.14000000000000001</v>
      </c>
      <c r="L2146" s="39">
        <f t="shared" si="137"/>
        <v>1.3</v>
      </c>
      <c r="M2146" s="39">
        <f t="shared" si="138"/>
        <v>1.4285714285714286</v>
      </c>
      <c r="N2146" t="s">
        <v>136</v>
      </c>
      <c r="O2146" t="s">
        <v>136</v>
      </c>
      <c r="P2146">
        <v>1</v>
      </c>
      <c r="Q2146">
        <v>2</v>
      </c>
      <c r="R2146" t="s">
        <v>2937</v>
      </c>
    </row>
    <row r="2147" spans="1:18" hidden="1" x14ac:dyDescent="0.3">
      <c r="A2147">
        <v>427</v>
      </c>
      <c r="B2147" t="s">
        <v>1204</v>
      </c>
      <c r="C2147" t="s">
        <v>190</v>
      </c>
      <c r="D2147" t="s">
        <v>21</v>
      </c>
      <c r="E2147" t="s">
        <v>41</v>
      </c>
      <c r="F2147" s="79">
        <v>46022</v>
      </c>
      <c r="G2147">
        <v>2025</v>
      </c>
      <c r="H2147" t="s">
        <v>23</v>
      </c>
      <c r="I2147" t="s">
        <v>32</v>
      </c>
      <c r="J2147">
        <v>0.2</v>
      </c>
      <c r="K2147">
        <v>0.15</v>
      </c>
      <c r="L2147" s="39">
        <f t="shared" si="137"/>
        <v>1.3</v>
      </c>
      <c r="M2147" s="39">
        <f t="shared" si="138"/>
        <v>1.3333333333333335</v>
      </c>
      <c r="N2147" t="s">
        <v>136</v>
      </c>
      <c r="O2147" t="s">
        <v>136</v>
      </c>
      <c r="P2147">
        <v>2</v>
      </c>
      <c r="Q2147">
        <v>2</v>
      </c>
      <c r="R2147" t="s">
        <v>1207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45107</v>
      </c>
      <c r="G2148">
        <v>2023</v>
      </c>
      <c r="H2148" t="s">
        <v>699</v>
      </c>
      <c r="I2148" t="s">
        <v>1512</v>
      </c>
      <c r="J2148">
        <v>1</v>
      </c>
      <c r="K2148">
        <v>17.59</v>
      </c>
      <c r="L2148" s="39">
        <f t="shared" si="137"/>
        <v>5.6850483229107449E-2</v>
      </c>
      <c r="M2148" s="39">
        <f t="shared" si="138"/>
        <v>5.6850483229107449E-2</v>
      </c>
      <c r="N2148" t="s">
        <v>424</v>
      </c>
      <c r="O2148" t="s">
        <v>424</v>
      </c>
      <c r="P2148">
        <v>0</v>
      </c>
      <c r="Q2148">
        <v>1</v>
      </c>
      <c r="R2148" t="s">
        <v>2938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45291</v>
      </c>
      <c r="G2149">
        <v>2023</v>
      </c>
      <c r="H2149" t="s">
        <v>23</v>
      </c>
      <c r="I2149" t="s">
        <v>28</v>
      </c>
      <c r="J2149">
        <v>1</v>
      </c>
      <c r="K2149">
        <v>18.63</v>
      </c>
      <c r="L2149" s="39">
        <f t="shared" si="137"/>
        <v>5.3676865271068172E-2</v>
      </c>
      <c r="M2149" s="39">
        <f t="shared" si="138"/>
        <v>5.3676865271068172E-2</v>
      </c>
      <c r="N2149" t="s">
        <v>424</v>
      </c>
      <c r="O2149" t="s">
        <v>424</v>
      </c>
      <c r="P2149">
        <v>0</v>
      </c>
      <c r="Q2149">
        <v>1</v>
      </c>
      <c r="R2149" t="s">
        <v>1209</v>
      </c>
    </row>
    <row r="2150" spans="1:18" hidden="1" x14ac:dyDescent="0.3">
      <c r="A2150">
        <v>428</v>
      </c>
      <c r="B2150" t="s">
        <v>1208</v>
      </c>
      <c r="C2150" t="s">
        <v>190</v>
      </c>
      <c r="D2150" t="s">
        <v>27</v>
      </c>
      <c r="E2150" t="s">
        <v>41</v>
      </c>
      <c r="F2150" s="79">
        <v>45473</v>
      </c>
      <c r="G2150">
        <v>2024</v>
      </c>
      <c r="H2150" t="s">
        <v>699</v>
      </c>
      <c r="I2150" t="s">
        <v>729</v>
      </c>
      <c r="J2150">
        <v>1</v>
      </c>
      <c r="K2150">
        <v>16.579999999999998</v>
      </c>
      <c r="L2150" s="39">
        <f t="shared" si="137"/>
        <v>6.0313630880579019E-2</v>
      </c>
      <c r="M2150" s="39">
        <f t="shared" si="138"/>
        <v>6.0313630880579019E-2</v>
      </c>
      <c r="N2150" t="s">
        <v>424</v>
      </c>
      <c r="O2150" t="s">
        <v>424</v>
      </c>
      <c r="P2150">
        <v>0</v>
      </c>
      <c r="Q2150">
        <v>1</v>
      </c>
      <c r="R2150" t="s">
        <v>2939</v>
      </c>
    </row>
    <row r="2151" spans="1:18" hidden="1" x14ac:dyDescent="0.3">
      <c r="A2151">
        <v>428</v>
      </c>
      <c r="B2151" t="s">
        <v>1208</v>
      </c>
      <c r="C2151" t="s">
        <v>190</v>
      </c>
      <c r="D2151" t="s">
        <v>27</v>
      </c>
      <c r="E2151" t="s">
        <v>41</v>
      </c>
      <c r="F2151" s="79">
        <v>45657</v>
      </c>
      <c r="G2151">
        <v>2024</v>
      </c>
      <c r="H2151" t="s">
        <v>23</v>
      </c>
      <c r="I2151" t="s">
        <v>30</v>
      </c>
      <c r="J2151">
        <v>1</v>
      </c>
      <c r="K2151">
        <v>18.53</v>
      </c>
      <c r="L2151" s="39">
        <f t="shared" si="137"/>
        <v>5.3966540744738258E-2</v>
      </c>
      <c r="M2151" s="39">
        <f t="shared" si="138"/>
        <v>5.3966540744738258E-2</v>
      </c>
      <c r="N2151" t="s">
        <v>424</v>
      </c>
      <c r="O2151" t="s">
        <v>424</v>
      </c>
      <c r="P2151">
        <v>0</v>
      </c>
      <c r="Q2151">
        <v>1</v>
      </c>
      <c r="R2151" t="s">
        <v>1210</v>
      </c>
    </row>
    <row r="2152" spans="1:18" hidden="1" x14ac:dyDescent="0.3">
      <c r="A2152">
        <v>428</v>
      </c>
      <c r="B2152" t="s">
        <v>1208</v>
      </c>
      <c r="C2152" t="s">
        <v>190</v>
      </c>
      <c r="D2152" t="s">
        <v>27</v>
      </c>
      <c r="E2152" t="s">
        <v>41</v>
      </c>
      <c r="F2152" s="79">
        <v>45838</v>
      </c>
      <c r="G2152">
        <v>2025</v>
      </c>
      <c r="H2152" t="s">
        <v>699</v>
      </c>
      <c r="I2152" t="s">
        <v>700</v>
      </c>
      <c r="J2152">
        <v>1</v>
      </c>
      <c r="K2152">
        <v>15.12</v>
      </c>
      <c r="L2152" s="39">
        <f t="shared" si="137"/>
        <v>6.6137566137566148E-2</v>
      </c>
      <c r="M2152" s="39">
        <f t="shared" si="138"/>
        <v>6.6137566137566148E-2</v>
      </c>
      <c r="N2152" t="s">
        <v>424</v>
      </c>
      <c r="O2152" t="s">
        <v>424</v>
      </c>
      <c r="P2152">
        <v>0</v>
      </c>
      <c r="Q2152">
        <v>1</v>
      </c>
      <c r="R2152" t="s">
        <v>2940</v>
      </c>
    </row>
    <row r="2153" spans="1:18" hidden="1" x14ac:dyDescent="0.3">
      <c r="A2153">
        <v>428</v>
      </c>
      <c r="B2153" t="s">
        <v>1208</v>
      </c>
      <c r="C2153" t="s">
        <v>190</v>
      </c>
      <c r="D2153" t="s">
        <v>21</v>
      </c>
      <c r="E2153" t="s">
        <v>41</v>
      </c>
      <c r="F2153" s="79">
        <v>46022</v>
      </c>
      <c r="G2153">
        <v>2025</v>
      </c>
      <c r="H2153" t="s">
        <v>23</v>
      </c>
      <c r="I2153" t="s">
        <v>32</v>
      </c>
      <c r="J2153">
        <v>1</v>
      </c>
      <c r="K2153">
        <v>17.88</v>
      </c>
      <c r="L2153" s="39">
        <f t="shared" si="137"/>
        <v>5.5928411633109625E-2</v>
      </c>
      <c r="M2153" s="39">
        <f t="shared" si="138"/>
        <v>5.5928411633109625E-2</v>
      </c>
      <c r="N2153" t="s">
        <v>424</v>
      </c>
      <c r="O2153" t="s">
        <v>424</v>
      </c>
      <c r="P2153">
        <v>0</v>
      </c>
      <c r="Q2153">
        <v>1</v>
      </c>
      <c r="R2153" t="s">
        <v>1211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45107</v>
      </c>
      <c r="G2154">
        <v>2023</v>
      </c>
      <c r="H2154" t="s">
        <v>699</v>
      </c>
      <c r="I2154" t="s">
        <v>1512</v>
      </c>
      <c r="J2154">
        <v>0.76</v>
      </c>
      <c r="K2154">
        <v>0.3</v>
      </c>
      <c r="L2154" s="39">
        <f t="shared" si="137"/>
        <v>1.3</v>
      </c>
      <c r="M2154" s="39">
        <f t="shared" si="138"/>
        <v>2.5333333333333337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27</v>
      </c>
      <c r="E2155" t="s">
        <v>41</v>
      </c>
      <c r="F2155" s="79">
        <v>45291</v>
      </c>
      <c r="G2155">
        <v>2023</v>
      </c>
      <c r="H2155" t="s">
        <v>23</v>
      </c>
      <c r="I2155" t="s">
        <v>28</v>
      </c>
      <c r="J2155">
        <v>0.76</v>
      </c>
      <c r="K2155">
        <v>0.76</v>
      </c>
      <c r="L2155" s="39">
        <f t="shared" si="137"/>
        <v>1</v>
      </c>
      <c r="M2155" s="39">
        <f t="shared" si="138"/>
        <v>1</v>
      </c>
      <c r="N2155" t="s">
        <v>136</v>
      </c>
      <c r="O2155" t="s">
        <v>136</v>
      </c>
      <c r="P2155">
        <v>0</v>
      </c>
      <c r="Q2155">
        <v>0</v>
      </c>
      <c r="R2155" t="s">
        <v>1213</v>
      </c>
    </row>
    <row r="2156" spans="1:18" hidden="1" x14ac:dyDescent="0.3">
      <c r="A2156">
        <v>429</v>
      </c>
      <c r="B2156" t="s">
        <v>1212</v>
      </c>
      <c r="C2156" t="s">
        <v>190</v>
      </c>
      <c r="D2156" t="s">
        <v>27</v>
      </c>
      <c r="E2156" t="s">
        <v>41</v>
      </c>
      <c r="F2156" s="79">
        <v>45473</v>
      </c>
      <c r="G2156">
        <v>2024</v>
      </c>
      <c r="H2156" t="s">
        <v>699</v>
      </c>
      <c r="I2156" t="s">
        <v>729</v>
      </c>
      <c r="J2156">
        <v>0.76</v>
      </c>
      <c r="K2156">
        <v>0.66</v>
      </c>
      <c r="L2156" s="39">
        <f t="shared" si="137"/>
        <v>1.1515151515151514</v>
      </c>
      <c r="M2156" s="39">
        <f t="shared" si="138"/>
        <v>1.1515151515151514</v>
      </c>
      <c r="N2156" t="s">
        <v>136</v>
      </c>
      <c r="O2156" t="s">
        <v>136</v>
      </c>
      <c r="P2156">
        <v>1</v>
      </c>
      <c r="Q2156">
        <v>1</v>
      </c>
      <c r="R2156" t="s">
        <v>2942</v>
      </c>
    </row>
    <row r="2157" spans="1:18" hidden="1" x14ac:dyDescent="0.3">
      <c r="A2157">
        <v>429</v>
      </c>
      <c r="B2157" t="s">
        <v>1212</v>
      </c>
      <c r="C2157" t="s">
        <v>190</v>
      </c>
      <c r="D2157" t="s">
        <v>27</v>
      </c>
      <c r="E2157" t="s">
        <v>41</v>
      </c>
      <c r="F2157" s="79">
        <v>45657</v>
      </c>
      <c r="G2157">
        <v>2024</v>
      </c>
      <c r="H2157" t="s">
        <v>23</v>
      </c>
      <c r="I2157" t="s">
        <v>30</v>
      </c>
      <c r="J2157">
        <v>0.76</v>
      </c>
      <c r="K2157">
        <v>0.67</v>
      </c>
      <c r="L2157" s="39">
        <f t="shared" si="137"/>
        <v>1.1343283582089552</v>
      </c>
      <c r="M2157" s="39">
        <f t="shared" si="138"/>
        <v>1.1343283582089552</v>
      </c>
      <c r="N2157" t="s">
        <v>136</v>
      </c>
      <c r="O2157" t="s">
        <v>136</v>
      </c>
      <c r="P2157">
        <v>1</v>
      </c>
      <c r="Q2157">
        <v>1</v>
      </c>
      <c r="R2157" t="s">
        <v>1214</v>
      </c>
    </row>
    <row r="2158" spans="1:18" hidden="1" x14ac:dyDescent="0.3">
      <c r="A2158">
        <v>429</v>
      </c>
      <c r="B2158" t="s">
        <v>1212</v>
      </c>
      <c r="C2158" t="s">
        <v>190</v>
      </c>
      <c r="D2158" t="s">
        <v>27</v>
      </c>
      <c r="E2158" t="s">
        <v>41</v>
      </c>
      <c r="F2158" s="79">
        <v>45838</v>
      </c>
      <c r="G2158">
        <v>2025</v>
      </c>
      <c r="H2158" t="s">
        <v>699</v>
      </c>
      <c r="I2158" t="s">
        <v>700</v>
      </c>
      <c r="J2158">
        <v>0.76</v>
      </c>
      <c r="K2158">
        <v>0.59</v>
      </c>
      <c r="L2158" s="39">
        <f t="shared" si="137"/>
        <v>1.2881355932203391</v>
      </c>
      <c r="M2158" s="39">
        <f t="shared" si="138"/>
        <v>1.2881355932203391</v>
      </c>
      <c r="N2158" t="s">
        <v>136</v>
      </c>
      <c r="O2158" t="s">
        <v>136</v>
      </c>
      <c r="P2158">
        <v>1</v>
      </c>
      <c r="Q2158">
        <v>1</v>
      </c>
      <c r="R2158" t="s">
        <v>2943</v>
      </c>
    </row>
    <row r="2159" spans="1:18" hidden="1" x14ac:dyDescent="0.3">
      <c r="A2159">
        <v>429</v>
      </c>
      <c r="B2159" t="s">
        <v>1212</v>
      </c>
      <c r="C2159" t="s">
        <v>190</v>
      </c>
      <c r="D2159" t="s">
        <v>21</v>
      </c>
      <c r="E2159" t="s">
        <v>41</v>
      </c>
      <c r="F2159" s="79">
        <v>46022</v>
      </c>
      <c r="G2159">
        <v>2025</v>
      </c>
      <c r="H2159" t="s">
        <v>23</v>
      </c>
      <c r="I2159" t="s">
        <v>32</v>
      </c>
      <c r="J2159">
        <v>0.76</v>
      </c>
      <c r="K2159">
        <v>0.52</v>
      </c>
      <c r="L2159" s="39">
        <f t="shared" si="137"/>
        <v>1.3</v>
      </c>
      <c r="M2159" s="39">
        <f t="shared" si="138"/>
        <v>1.4615384615384615</v>
      </c>
      <c r="N2159" t="s">
        <v>136</v>
      </c>
      <c r="O2159" t="s">
        <v>136</v>
      </c>
      <c r="P2159">
        <v>2</v>
      </c>
      <c r="Q2159">
        <v>2</v>
      </c>
      <c r="R2159" t="s">
        <v>1215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45107</v>
      </c>
      <c r="G2160">
        <v>2023</v>
      </c>
      <c r="H2160" t="s">
        <v>699</v>
      </c>
      <c r="I2160" t="s">
        <v>1512</v>
      </c>
      <c r="J2160">
        <v>95</v>
      </c>
      <c r="K2160">
        <v>104.59563552424</v>
      </c>
      <c r="L2160" s="39">
        <f t="shared" si="137"/>
        <v>1.101006689728842</v>
      </c>
      <c r="M2160" s="39">
        <f t="shared" si="138"/>
        <v>1.101006689728842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27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95</v>
      </c>
      <c r="K2161">
        <v>101.39526345983001</v>
      </c>
      <c r="L2161" s="39">
        <f t="shared" si="137"/>
        <v>1.0673185627350528</v>
      </c>
      <c r="M2161" s="39">
        <f t="shared" si="138"/>
        <v>1.0673185627350528</v>
      </c>
      <c r="N2161" t="s">
        <v>25</v>
      </c>
      <c r="O2161" t="s">
        <v>25</v>
      </c>
      <c r="P2161">
        <v>0</v>
      </c>
      <c r="Q2161">
        <v>0</v>
      </c>
      <c r="R2161" t="s">
        <v>1217</v>
      </c>
    </row>
    <row r="2162" spans="1:19" hidden="1" x14ac:dyDescent="0.3">
      <c r="A2162">
        <v>430</v>
      </c>
      <c r="B2162" t="s">
        <v>1216</v>
      </c>
      <c r="C2162" t="s">
        <v>159</v>
      </c>
      <c r="D2162" t="s">
        <v>27</v>
      </c>
      <c r="E2162" t="s">
        <v>22</v>
      </c>
      <c r="F2162" s="79">
        <v>45473</v>
      </c>
      <c r="G2162">
        <v>2024</v>
      </c>
      <c r="H2162" t="s">
        <v>699</v>
      </c>
      <c r="I2162" t="s">
        <v>729</v>
      </c>
      <c r="J2162">
        <v>95</v>
      </c>
      <c r="K2162">
        <v>101.88</v>
      </c>
      <c r="L2162" s="39">
        <f t="shared" si="137"/>
        <v>1.0724210526315789</v>
      </c>
      <c r="M2162" s="39">
        <f t="shared" si="138"/>
        <v>1.0724210526315789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430</v>
      </c>
      <c r="B2163" t="s">
        <v>1216</v>
      </c>
      <c r="C2163" t="s">
        <v>159</v>
      </c>
      <c r="D2163" t="s">
        <v>27</v>
      </c>
      <c r="E2163" t="s">
        <v>22</v>
      </c>
      <c r="F2163" s="79">
        <v>45657</v>
      </c>
      <c r="G2163">
        <v>2024</v>
      </c>
      <c r="H2163" t="s">
        <v>23</v>
      </c>
      <c r="I2163" t="s">
        <v>30</v>
      </c>
      <c r="J2163">
        <v>95</v>
      </c>
      <c r="K2163">
        <v>102.9374919710379</v>
      </c>
      <c r="L2163" s="39">
        <f t="shared" si="137"/>
        <v>1.0835525470635567</v>
      </c>
      <c r="M2163" s="39">
        <f t="shared" si="138"/>
        <v>1.0835525470635567</v>
      </c>
      <c r="N2163" t="s">
        <v>25</v>
      </c>
      <c r="O2163" t="s">
        <v>25</v>
      </c>
      <c r="P2163">
        <v>0</v>
      </c>
      <c r="Q2163">
        <v>0</v>
      </c>
      <c r="R2163" t="s">
        <v>1218</v>
      </c>
    </row>
    <row r="2164" spans="1:19" hidden="1" x14ac:dyDescent="0.3">
      <c r="A2164">
        <v>430</v>
      </c>
      <c r="B2164" t="s">
        <v>1216</v>
      </c>
      <c r="C2164" t="s">
        <v>159</v>
      </c>
      <c r="D2164" t="s">
        <v>27</v>
      </c>
      <c r="E2164" t="s">
        <v>22</v>
      </c>
      <c r="F2164" s="79">
        <v>45838</v>
      </c>
      <c r="G2164">
        <v>2025</v>
      </c>
      <c r="H2164" t="s">
        <v>699</v>
      </c>
      <c r="I2164" t="s">
        <v>700</v>
      </c>
      <c r="J2164">
        <v>95</v>
      </c>
      <c r="K2164">
        <v>110.79</v>
      </c>
      <c r="L2164" s="39">
        <f t="shared" si="137"/>
        <v>1.1662105263157896</v>
      </c>
      <c r="M2164" s="39">
        <f t="shared" si="138"/>
        <v>1.1662105263157896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430</v>
      </c>
      <c r="B2165" t="s">
        <v>1216</v>
      </c>
      <c r="C2165" t="s">
        <v>159</v>
      </c>
      <c r="D2165" t="s">
        <v>21</v>
      </c>
      <c r="E2165" t="s">
        <v>22</v>
      </c>
      <c r="F2165" s="79">
        <v>46022</v>
      </c>
      <c r="G2165">
        <v>2025</v>
      </c>
      <c r="H2165" t="s">
        <v>23</v>
      </c>
      <c r="I2165" t="s">
        <v>32</v>
      </c>
      <c r="J2165">
        <v>95</v>
      </c>
      <c r="K2165">
        <v>111.76</v>
      </c>
      <c r="L2165" s="39">
        <f t="shared" si="137"/>
        <v>1.176421052631579</v>
      </c>
      <c r="M2165" s="39">
        <f t="shared" si="138"/>
        <v>1.176421052631579</v>
      </c>
      <c r="N2165" t="s">
        <v>25</v>
      </c>
      <c r="O2165" t="s">
        <v>25</v>
      </c>
      <c r="P2165">
        <v>0</v>
      </c>
      <c r="Q2165">
        <v>0</v>
      </c>
      <c r="R2165" t="s">
        <v>1219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45199</v>
      </c>
      <c r="G2166">
        <v>2023</v>
      </c>
      <c r="H2166" t="s">
        <v>162</v>
      </c>
      <c r="I2166" t="s">
        <v>28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2947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1221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45382</v>
      </c>
      <c r="G2168">
        <v>2024</v>
      </c>
      <c r="H2168" t="s">
        <v>1516</v>
      </c>
      <c r="I2168" t="s">
        <v>729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2948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45473</v>
      </c>
      <c r="G2169">
        <v>2024</v>
      </c>
      <c r="H2169" t="s">
        <v>699</v>
      </c>
      <c r="I2169" t="s">
        <v>729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2949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21</v>
      </c>
      <c r="E2170" t="s">
        <v>22</v>
      </c>
      <c r="F2170" s="79">
        <v>45565</v>
      </c>
      <c r="G2170">
        <v>2024</v>
      </c>
      <c r="H2170" t="s">
        <v>162</v>
      </c>
      <c r="I2170" t="s">
        <v>30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2950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21</v>
      </c>
      <c r="E2171" t="s">
        <v>22</v>
      </c>
      <c r="F2171" s="79">
        <v>45657</v>
      </c>
      <c r="G2171">
        <v>2024</v>
      </c>
      <c r="H2171" t="s">
        <v>23</v>
      </c>
      <c r="I2171" t="s">
        <v>30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1222</v>
      </c>
    </row>
    <row r="2172" spans="1:19" hidden="1" x14ac:dyDescent="0.3">
      <c r="A2172">
        <v>431</v>
      </c>
      <c r="B2172" t="s">
        <v>1220</v>
      </c>
      <c r="C2172" t="s">
        <v>70</v>
      </c>
      <c r="D2172" t="s">
        <v>21</v>
      </c>
      <c r="E2172" t="s">
        <v>22</v>
      </c>
      <c r="F2172" s="79">
        <v>45747</v>
      </c>
      <c r="G2172">
        <v>2025</v>
      </c>
      <c r="H2172" t="s">
        <v>1516</v>
      </c>
      <c r="I2172" t="s">
        <v>700</v>
      </c>
      <c r="J2172">
        <v>100</v>
      </c>
      <c r="K2172">
        <v>100</v>
      </c>
      <c r="L2172" s="39">
        <f t="shared" si="137"/>
        <v>1</v>
      </c>
      <c r="M2172" s="39">
        <f t="shared" si="138"/>
        <v>1</v>
      </c>
      <c r="N2172" t="s">
        <v>25</v>
      </c>
      <c r="O2172" t="s">
        <v>25</v>
      </c>
      <c r="P2172">
        <v>0</v>
      </c>
      <c r="Q2172">
        <v>0</v>
      </c>
      <c r="R2172" t="s">
        <v>2951</v>
      </c>
    </row>
    <row r="2173" spans="1:19" hidden="1" x14ac:dyDescent="0.3">
      <c r="A2173">
        <v>431</v>
      </c>
      <c r="B2173" t="s">
        <v>1220</v>
      </c>
      <c r="C2173" t="s">
        <v>70</v>
      </c>
      <c r="D2173" t="s">
        <v>21</v>
      </c>
      <c r="E2173" t="s">
        <v>22</v>
      </c>
      <c r="F2173" s="79">
        <v>45838</v>
      </c>
      <c r="G2173">
        <v>2025</v>
      </c>
      <c r="H2173" t="s">
        <v>699</v>
      </c>
      <c r="I2173" t="s">
        <v>700</v>
      </c>
      <c r="J2173">
        <v>100</v>
      </c>
      <c r="K2173">
        <v>100</v>
      </c>
      <c r="L2173" s="39">
        <f t="shared" si="137"/>
        <v>1</v>
      </c>
      <c r="M2173" s="39">
        <f t="shared" si="138"/>
        <v>1</v>
      </c>
      <c r="N2173" t="s">
        <v>25</v>
      </c>
      <c r="O2173" t="s">
        <v>25</v>
      </c>
      <c r="P2173">
        <v>0</v>
      </c>
      <c r="Q2173">
        <v>0</v>
      </c>
      <c r="R2173" t="s">
        <v>2952</v>
      </c>
    </row>
    <row r="2174" spans="1:19" hidden="1" x14ac:dyDescent="0.3">
      <c r="A2174">
        <v>431</v>
      </c>
      <c r="B2174" t="s">
        <v>1220</v>
      </c>
      <c r="C2174" t="s">
        <v>70</v>
      </c>
      <c r="D2174" t="s">
        <v>27</v>
      </c>
      <c r="E2174" t="s">
        <v>22</v>
      </c>
      <c r="F2174" s="79">
        <v>45930</v>
      </c>
      <c r="G2174">
        <v>2025</v>
      </c>
      <c r="H2174" t="s">
        <v>162</v>
      </c>
      <c r="I2174" t="s">
        <v>32</v>
      </c>
      <c r="J2174">
        <v>100</v>
      </c>
      <c r="K2174">
        <v>100</v>
      </c>
      <c r="L2174" s="39">
        <f t="shared" si="137"/>
        <v>1</v>
      </c>
      <c r="M2174" s="39">
        <f t="shared" si="138"/>
        <v>1</v>
      </c>
      <c r="N2174" t="s">
        <v>25</v>
      </c>
      <c r="O2174" t="s">
        <v>25</v>
      </c>
      <c r="P2174">
        <v>0</v>
      </c>
      <c r="Q2174">
        <v>0</v>
      </c>
      <c r="R2174" t="s">
        <v>2953</v>
      </c>
    </row>
    <row r="2175" spans="1:19" hidden="1" x14ac:dyDescent="0.3">
      <c r="A2175">
        <v>431</v>
      </c>
      <c r="B2175" t="s">
        <v>1220</v>
      </c>
      <c r="C2175" t="s">
        <v>70</v>
      </c>
      <c r="D2175" t="s">
        <v>27</v>
      </c>
      <c r="E2175" t="s">
        <v>22</v>
      </c>
      <c r="F2175" s="79">
        <v>46022</v>
      </c>
      <c r="G2175">
        <v>2025</v>
      </c>
      <c r="H2175" t="s">
        <v>23</v>
      </c>
      <c r="I2175" t="s">
        <v>32</v>
      </c>
      <c r="J2175">
        <v>100</v>
      </c>
      <c r="K2175">
        <v>100</v>
      </c>
      <c r="L2175" s="39">
        <f t="shared" si="137"/>
        <v>1</v>
      </c>
      <c r="M2175" s="39">
        <f t="shared" si="138"/>
        <v>1</v>
      </c>
      <c r="N2175" t="s">
        <v>25</v>
      </c>
      <c r="O2175" t="s">
        <v>25</v>
      </c>
      <c r="P2175">
        <v>0</v>
      </c>
      <c r="Q2175">
        <v>0</v>
      </c>
      <c r="R2175" t="s">
        <v>1223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27</v>
      </c>
      <c r="E2176" t="s">
        <v>22</v>
      </c>
      <c r="F2176" s="79">
        <v>45107</v>
      </c>
      <c r="G2176">
        <v>2023</v>
      </c>
      <c r="H2176" t="s">
        <v>699</v>
      </c>
      <c r="I2176" t="s">
        <v>1512</v>
      </c>
      <c r="N2176" t="s">
        <v>25</v>
      </c>
      <c r="O2176" t="s">
        <v>302</v>
      </c>
      <c r="P2176">
        <v>0</v>
      </c>
      <c r="Q2176">
        <v>0</v>
      </c>
      <c r="R2176" t="s">
        <v>2954</v>
      </c>
      <c r="S2176" t="s">
        <v>302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45199</v>
      </c>
      <c r="G2177">
        <v>2023</v>
      </c>
      <c r="H2177" t="s">
        <v>162</v>
      </c>
      <c r="I2177" t="s">
        <v>28</v>
      </c>
      <c r="J2177">
        <v>90</v>
      </c>
      <c r="K2177">
        <v>100</v>
      </c>
      <c r="L2177" s="39">
        <f t="shared" ref="L2177:L2208" si="139">IFERROR(IF(OR(J2177=0,K2177=""),"",IF(E2177="Positivo",MIN(MAX(K2177/J2177,0),1.3),MIN(MAX(J2177/K2177,0),1.3))),"")</f>
        <v>1.1111111111111112</v>
      </c>
      <c r="M2177" s="39">
        <f t="shared" ref="M2177:M2208" si="140">IFERROR(IF(OR(J2177=0,K2177=""),"",IF(E2177="Positivo",MAX(K2177/J2177,0),MAX(J2177/K2177,0))),"")</f>
        <v>1.1111111111111112</v>
      </c>
      <c r="N2177" t="s">
        <v>25</v>
      </c>
      <c r="O2177" t="s">
        <v>25</v>
      </c>
      <c r="P2177">
        <v>0</v>
      </c>
      <c r="Q2177">
        <v>0</v>
      </c>
      <c r="R2177" t="s">
        <v>2955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45291</v>
      </c>
      <c r="G2178">
        <v>2023</v>
      </c>
      <c r="H2178" t="s">
        <v>23</v>
      </c>
      <c r="I2178" t="s">
        <v>28</v>
      </c>
      <c r="J2178">
        <v>90</v>
      </c>
      <c r="K2178">
        <v>98.765555555556006</v>
      </c>
      <c r="L2178" s="39">
        <f t="shared" si="139"/>
        <v>1.0973950617284001</v>
      </c>
      <c r="M2178" s="39">
        <f t="shared" si="140"/>
        <v>1.0973950617284001</v>
      </c>
      <c r="N2178" t="s">
        <v>25</v>
      </c>
      <c r="O2178" t="s">
        <v>25</v>
      </c>
      <c r="P2178">
        <v>0</v>
      </c>
      <c r="Q2178">
        <v>0</v>
      </c>
      <c r="R2178" t="s">
        <v>1225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45382</v>
      </c>
      <c r="G2179">
        <v>2024</v>
      </c>
      <c r="H2179" t="s">
        <v>1516</v>
      </c>
      <c r="I2179" t="s">
        <v>729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2956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45473</v>
      </c>
      <c r="G2180">
        <v>2024</v>
      </c>
      <c r="H2180" t="s">
        <v>699</v>
      </c>
      <c r="I2180" t="s">
        <v>729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2957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21</v>
      </c>
      <c r="E2181" t="s">
        <v>22</v>
      </c>
      <c r="F2181" s="79">
        <v>45565</v>
      </c>
      <c r="G2181">
        <v>2024</v>
      </c>
      <c r="H2181" t="s">
        <v>162</v>
      </c>
      <c r="I2181" t="s">
        <v>30</v>
      </c>
      <c r="J2181">
        <v>90</v>
      </c>
      <c r="K2181">
        <v>0</v>
      </c>
      <c r="L2181" s="39">
        <f t="shared" si="139"/>
        <v>0</v>
      </c>
      <c r="M2181" s="39">
        <f t="shared" si="140"/>
        <v>0</v>
      </c>
      <c r="N2181" t="s">
        <v>25</v>
      </c>
      <c r="O2181" t="s">
        <v>25</v>
      </c>
      <c r="P2181">
        <v>0</v>
      </c>
      <c r="Q2181">
        <v>0</v>
      </c>
      <c r="R2181" t="s">
        <v>2958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21</v>
      </c>
      <c r="E2182" t="s">
        <v>22</v>
      </c>
      <c r="F2182" s="79">
        <v>45657</v>
      </c>
      <c r="G2182">
        <v>2024</v>
      </c>
      <c r="H2182" t="s">
        <v>23</v>
      </c>
      <c r="I2182" t="s">
        <v>30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1226</v>
      </c>
    </row>
    <row r="2183" spans="1:18" hidden="1" x14ac:dyDescent="0.3">
      <c r="A2183">
        <v>432</v>
      </c>
      <c r="B2183" t="s">
        <v>1224</v>
      </c>
      <c r="C2183" t="s">
        <v>70</v>
      </c>
      <c r="D2183" t="s">
        <v>21</v>
      </c>
      <c r="E2183" t="s">
        <v>22</v>
      </c>
      <c r="F2183" s="79">
        <v>45747</v>
      </c>
      <c r="G2183">
        <v>2025</v>
      </c>
      <c r="H2183" t="s">
        <v>1516</v>
      </c>
      <c r="I2183" t="s">
        <v>700</v>
      </c>
      <c r="J2183">
        <v>90</v>
      </c>
      <c r="K2183">
        <v>100</v>
      </c>
      <c r="L2183" s="39">
        <f t="shared" si="139"/>
        <v>1.1111111111111112</v>
      </c>
      <c r="M2183" s="39">
        <f t="shared" si="140"/>
        <v>1.1111111111111112</v>
      </c>
      <c r="N2183" t="s">
        <v>25</v>
      </c>
      <c r="O2183" t="s">
        <v>25</v>
      </c>
      <c r="P2183">
        <v>0</v>
      </c>
      <c r="Q2183">
        <v>0</v>
      </c>
      <c r="R2183" t="s">
        <v>2959</v>
      </c>
    </row>
    <row r="2184" spans="1:18" hidden="1" x14ac:dyDescent="0.3">
      <c r="A2184">
        <v>432</v>
      </c>
      <c r="B2184" t="s">
        <v>1224</v>
      </c>
      <c r="C2184" t="s">
        <v>70</v>
      </c>
      <c r="D2184" t="s">
        <v>21</v>
      </c>
      <c r="E2184" t="s">
        <v>22</v>
      </c>
      <c r="F2184" s="79">
        <v>45838</v>
      </c>
      <c r="G2184">
        <v>2025</v>
      </c>
      <c r="H2184" t="s">
        <v>699</v>
      </c>
      <c r="I2184" t="s">
        <v>700</v>
      </c>
      <c r="J2184">
        <v>90</v>
      </c>
      <c r="K2184">
        <v>100</v>
      </c>
      <c r="L2184" s="39">
        <f t="shared" si="139"/>
        <v>1.1111111111111112</v>
      </c>
      <c r="M2184" s="39">
        <f t="shared" si="140"/>
        <v>1.1111111111111112</v>
      </c>
      <c r="N2184" t="s">
        <v>25</v>
      </c>
      <c r="O2184" t="s">
        <v>25</v>
      </c>
      <c r="P2184">
        <v>0</v>
      </c>
      <c r="Q2184">
        <v>0</v>
      </c>
      <c r="R2184" t="s">
        <v>2960</v>
      </c>
    </row>
    <row r="2185" spans="1:18" hidden="1" x14ac:dyDescent="0.3">
      <c r="A2185">
        <v>432</v>
      </c>
      <c r="B2185" t="s">
        <v>1224</v>
      </c>
      <c r="C2185" t="s">
        <v>70</v>
      </c>
      <c r="D2185" t="s">
        <v>27</v>
      </c>
      <c r="E2185" t="s">
        <v>22</v>
      </c>
      <c r="F2185" s="79">
        <v>45930</v>
      </c>
      <c r="G2185">
        <v>2025</v>
      </c>
      <c r="H2185" t="s">
        <v>162</v>
      </c>
      <c r="I2185" t="s">
        <v>32</v>
      </c>
      <c r="J2185">
        <v>90</v>
      </c>
      <c r="K2185">
        <v>100</v>
      </c>
      <c r="L2185" s="39">
        <f t="shared" si="139"/>
        <v>1.1111111111111112</v>
      </c>
      <c r="M2185" s="39">
        <f t="shared" si="140"/>
        <v>1.1111111111111112</v>
      </c>
      <c r="N2185" t="s">
        <v>25</v>
      </c>
      <c r="O2185" t="s">
        <v>25</v>
      </c>
      <c r="P2185">
        <v>0</v>
      </c>
      <c r="Q2185">
        <v>0</v>
      </c>
      <c r="R2185" t="s">
        <v>2961</v>
      </c>
    </row>
    <row r="2186" spans="1:18" hidden="1" x14ac:dyDescent="0.3">
      <c r="A2186">
        <v>432</v>
      </c>
      <c r="B2186" t="s">
        <v>1224</v>
      </c>
      <c r="C2186" t="s">
        <v>70</v>
      </c>
      <c r="D2186" t="s">
        <v>27</v>
      </c>
      <c r="E2186" t="s">
        <v>22</v>
      </c>
      <c r="F2186" s="79">
        <v>46022</v>
      </c>
      <c r="G2186">
        <v>2025</v>
      </c>
      <c r="H2186" t="s">
        <v>23</v>
      </c>
      <c r="I2186" t="s">
        <v>32</v>
      </c>
      <c r="J2186">
        <v>90</v>
      </c>
      <c r="K2186">
        <v>100</v>
      </c>
      <c r="L2186" s="39">
        <f t="shared" si="139"/>
        <v>1.1111111111111112</v>
      </c>
      <c r="M2186" s="39">
        <f t="shared" si="140"/>
        <v>1.1111111111111112</v>
      </c>
      <c r="N2186" t="s">
        <v>25</v>
      </c>
      <c r="O2186" t="s">
        <v>25</v>
      </c>
      <c r="P2186">
        <v>0</v>
      </c>
      <c r="Q2186">
        <v>0</v>
      </c>
      <c r="R2186" t="s">
        <v>1227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45107</v>
      </c>
      <c r="G2187">
        <v>2023</v>
      </c>
      <c r="H2187" t="s">
        <v>699</v>
      </c>
      <c r="I2187" t="s">
        <v>1512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1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27</v>
      </c>
      <c r="E2188" t="s">
        <v>41</v>
      </c>
      <c r="F2188" s="79">
        <v>45291</v>
      </c>
      <c r="G2188">
        <v>2023</v>
      </c>
      <c r="H2188" t="s">
        <v>23</v>
      </c>
      <c r="I2188" t="s">
        <v>28</v>
      </c>
      <c r="J2188">
        <v>0.05</v>
      </c>
      <c r="K2188">
        <v>0.05</v>
      </c>
      <c r="L2188" s="39">
        <f t="shared" si="139"/>
        <v>1</v>
      </c>
      <c r="M2188" s="39">
        <f t="shared" si="140"/>
        <v>1</v>
      </c>
      <c r="N2188" t="s">
        <v>136</v>
      </c>
      <c r="O2188" t="s">
        <v>136</v>
      </c>
      <c r="P2188">
        <v>0</v>
      </c>
      <c r="Q2188">
        <v>0</v>
      </c>
      <c r="R2188" t="s">
        <v>1229</v>
      </c>
    </row>
    <row r="2189" spans="1:18" hidden="1" x14ac:dyDescent="0.3">
      <c r="A2189">
        <v>433</v>
      </c>
      <c r="B2189" t="s">
        <v>1228</v>
      </c>
      <c r="C2189" t="s">
        <v>190</v>
      </c>
      <c r="D2189" t="s">
        <v>27</v>
      </c>
      <c r="E2189" t="s">
        <v>41</v>
      </c>
      <c r="F2189" s="79">
        <v>45473</v>
      </c>
      <c r="G2189">
        <v>2024</v>
      </c>
      <c r="H2189" t="s">
        <v>699</v>
      </c>
      <c r="I2189" t="s">
        <v>729</v>
      </c>
      <c r="J2189">
        <v>0.05</v>
      </c>
      <c r="K2189">
        <v>7.0000000000000007E-2</v>
      </c>
      <c r="L2189" s="39">
        <f t="shared" si="139"/>
        <v>0.7142857142857143</v>
      </c>
      <c r="M2189" s="39">
        <f t="shared" si="140"/>
        <v>0.7142857142857143</v>
      </c>
      <c r="N2189" t="s">
        <v>136</v>
      </c>
      <c r="O2189" t="s">
        <v>136</v>
      </c>
      <c r="P2189">
        <v>2</v>
      </c>
      <c r="Q2189">
        <v>2</v>
      </c>
      <c r="R2189" t="s">
        <v>2963</v>
      </c>
    </row>
    <row r="2190" spans="1:18" hidden="1" x14ac:dyDescent="0.3">
      <c r="A2190">
        <v>433</v>
      </c>
      <c r="B2190" t="s">
        <v>1228</v>
      </c>
      <c r="C2190" t="s">
        <v>190</v>
      </c>
      <c r="D2190" t="s">
        <v>27</v>
      </c>
      <c r="E2190" t="s">
        <v>41</v>
      </c>
      <c r="F2190" s="79">
        <v>45657</v>
      </c>
      <c r="G2190">
        <v>2024</v>
      </c>
      <c r="H2190" t="s">
        <v>23</v>
      </c>
      <c r="I2190" t="s">
        <v>30</v>
      </c>
      <c r="J2190">
        <v>0.05</v>
      </c>
      <c r="K2190">
        <v>0.14000000000000001</v>
      </c>
      <c r="L2190" s="39">
        <f t="shared" si="139"/>
        <v>0.35714285714285715</v>
      </c>
      <c r="M2190" s="39">
        <f t="shared" si="140"/>
        <v>0.35714285714285715</v>
      </c>
      <c r="N2190" t="s">
        <v>136</v>
      </c>
      <c r="O2190" t="s">
        <v>136</v>
      </c>
      <c r="P2190">
        <v>2</v>
      </c>
      <c r="Q2190">
        <v>2</v>
      </c>
      <c r="R2190" t="s">
        <v>1230</v>
      </c>
    </row>
    <row r="2191" spans="1:18" hidden="1" x14ac:dyDescent="0.3">
      <c r="A2191">
        <v>433</v>
      </c>
      <c r="B2191" t="s">
        <v>1228</v>
      </c>
      <c r="C2191" t="s">
        <v>190</v>
      </c>
      <c r="D2191" t="s">
        <v>27</v>
      </c>
      <c r="E2191" t="s">
        <v>41</v>
      </c>
      <c r="F2191" s="79">
        <v>45838</v>
      </c>
      <c r="G2191">
        <v>2025</v>
      </c>
      <c r="H2191" t="s">
        <v>699</v>
      </c>
      <c r="I2191" t="s">
        <v>700</v>
      </c>
      <c r="J2191">
        <v>0.05</v>
      </c>
      <c r="K2191">
        <v>0.02</v>
      </c>
      <c r="L2191" s="39">
        <f t="shared" si="139"/>
        <v>1.3</v>
      </c>
      <c r="M2191" s="39">
        <f t="shared" si="140"/>
        <v>2.5</v>
      </c>
      <c r="N2191" t="s">
        <v>136</v>
      </c>
      <c r="O2191" t="s">
        <v>136</v>
      </c>
      <c r="P2191">
        <v>2</v>
      </c>
      <c r="Q2191">
        <v>2</v>
      </c>
      <c r="R2191" t="s">
        <v>2964</v>
      </c>
    </row>
    <row r="2192" spans="1:18" hidden="1" x14ac:dyDescent="0.3">
      <c r="A2192">
        <v>433</v>
      </c>
      <c r="B2192" t="s">
        <v>1228</v>
      </c>
      <c r="C2192" t="s">
        <v>190</v>
      </c>
      <c r="D2192" t="s">
        <v>21</v>
      </c>
      <c r="E2192" t="s">
        <v>41</v>
      </c>
      <c r="F2192" s="79">
        <v>46022</v>
      </c>
      <c r="G2192">
        <v>2025</v>
      </c>
      <c r="H2192" t="s">
        <v>23</v>
      </c>
      <c r="I2192" t="s">
        <v>32</v>
      </c>
      <c r="J2192">
        <v>0.05</v>
      </c>
      <c r="K2192">
        <v>0.17</v>
      </c>
      <c r="L2192" s="39">
        <f t="shared" si="139"/>
        <v>0.29411764705882354</v>
      </c>
      <c r="M2192" s="39">
        <f t="shared" si="140"/>
        <v>0.29411764705882354</v>
      </c>
      <c r="N2192" t="s">
        <v>136</v>
      </c>
      <c r="O2192" t="s">
        <v>136</v>
      </c>
      <c r="P2192">
        <v>2</v>
      </c>
      <c r="Q2192">
        <v>2</v>
      </c>
      <c r="R2192" t="s">
        <v>1231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44957</v>
      </c>
      <c r="G2193">
        <v>2023</v>
      </c>
      <c r="H2193" t="s">
        <v>59</v>
      </c>
      <c r="I2193" t="s">
        <v>1512</v>
      </c>
      <c r="J2193">
        <v>200</v>
      </c>
      <c r="K2193">
        <v>7</v>
      </c>
      <c r="L2193" s="39">
        <f t="shared" si="139"/>
        <v>1.3</v>
      </c>
      <c r="M2193" s="39">
        <f t="shared" si="140"/>
        <v>28.571428571428573</v>
      </c>
      <c r="N2193" t="s">
        <v>403</v>
      </c>
      <c r="O2193" t="s">
        <v>403</v>
      </c>
      <c r="P2193">
        <v>0</v>
      </c>
      <c r="Q2193">
        <v>0</v>
      </c>
      <c r="R2193" t="s">
        <v>2965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44985</v>
      </c>
      <c r="G2194">
        <v>2023</v>
      </c>
      <c r="H2194" t="s">
        <v>210</v>
      </c>
      <c r="I2194" t="s">
        <v>1512</v>
      </c>
      <c r="J2194">
        <v>200</v>
      </c>
      <c r="K2194">
        <v>0</v>
      </c>
      <c r="L2194" s="39" t="str">
        <f t="shared" si="139"/>
        <v/>
      </c>
      <c r="M2194" s="39" t="str">
        <f t="shared" si="140"/>
        <v/>
      </c>
      <c r="N2194" t="s">
        <v>403</v>
      </c>
      <c r="O2194" t="s">
        <v>403</v>
      </c>
      <c r="P2194">
        <v>0</v>
      </c>
      <c r="Q2194">
        <v>0</v>
      </c>
      <c r="R2194" t="s">
        <v>2966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45016</v>
      </c>
      <c r="G2195">
        <v>2023</v>
      </c>
      <c r="H2195" t="s">
        <v>1516</v>
      </c>
      <c r="I2195" t="s">
        <v>1512</v>
      </c>
      <c r="J2195">
        <v>200</v>
      </c>
      <c r="K2195">
        <v>1</v>
      </c>
      <c r="L2195" s="39">
        <f t="shared" si="139"/>
        <v>1.3</v>
      </c>
      <c r="M2195" s="39">
        <f t="shared" si="140"/>
        <v>200</v>
      </c>
      <c r="N2195" t="s">
        <v>403</v>
      </c>
      <c r="O2195" t="s">
        <v>403</v>
      </c>
      <c r="P2195">
        <v>0</v>
      </c>
      <c r="Q2195">
        <v>0</v>
      </c>
      <c r="R2195" t="s">
        <v>2967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45046</v>
      </c>
      <c r="G2196">
        <v>2023</v>
      </c>
      <c r="H2196" t="s">
        <v>1540</v>
      </c>
      <c r="I2196" t="s">
        <v>1512</v>
      </c>
      <c r="J2196">
        <v>200</v>
      </c>
      <c r="K2196">
        <v>0.8</v>
      </c>
      <c r="L2196" s="39">
        <f t="shared" si="139"/>
        <v>1.3</v>
      </c>
      <c r="M2196" s="39">
        <f t="shared" si="140"/>
        <v>250</v>
      </c>
      <c r="N2196" t="s">
        <v>403</v>
      </c>
      <c r="O2196" t="s">
        <v>403</v>
      </c>
      <c r="P2196">
        <v>0</v>
      </c>
      <c r="Q2196">
        <v>0</v>
      </c>
      <c r="R2196" t="s">
        <v>2968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45077</v>
      </c>
      <c r="G2197">
        <v>2023</v>
      </c>
      <c r="H2197" t="s">
        <v>1542</v>
      </c>
      <c r="I2197" t="s">
        <v>1512</v>
      </c>
      <c r="J2197">
        <v>200</v>
      </c>
      <c r="K2197">
        <v>4.5999999999999996</v>
      </c>
      <c r="L2197" s="39">
        <f t="shared" si="139"/>
        <v>1.3</v>
      </c>
      <c r="M2197" s="39">
        <f t="shared" si="140"/>
        <v>43.478260869565219</v>
      </c>
      <c r="N2197" t="s">
        <v>403</v>
      </c>
      <c r="O2197" t="s">
        <v>403</v>
      </c>
      <c r="P2197">
        <v>0</v>
      </c>
      <c r="Q2197">
        <v>0</v>
      </c>
      <c r="R2197" t="s">
        <v>2969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45107</v>
      </c>
      <c r="G2198">
        <v>2023</v>
      </c>
      <c r="H2198" t="s">
        <v>699</v>
      </c>
      <c r="I2198" t="s">
        <v>1512</v>
      </c>
      <c r="J2198">
        <v>200</v>
      </c>
      <c r="K2198">
        <v>5.0999999999999996</v>
      </c>
      <c r="L2198" s="39">
        <f t="shared" si="139"/>
        <v>1.3</v>
      </c>
      <c r="M2198" s="39">
        <f t="shared" si="140"/>
        <v>39.215686274509807</v>
      </c>
      <c r="N2198" t="s">
        <v>403</v>
      </c>
      <c r="O2198" t="s">
        <v>403</v>
      </c>
      <c r="P2198">
        <v>0</v>
      </c>
      <c r="Q2198">
        <v>0</v>
      </c>
      <c r="R2198" t="s">
        <v>2970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45138</v>
      </c>
      <c r="G2199">
        <v>2023</v>
      </c>
      <c r="H2199" t="s">
        <v>260</v>
      </c>
      <c r="I2199" t="s">
        <v>28</v>
      </c>
      <c r="J2199">
        <v>200</v>
      </c>
      <c r="K2199">
        <v>18.899999999999999</v>
      </c>
      <c r="L2199" s="39">
        <f t="shared" si="139"/>
        <v>1.3</v>
      </c>
      <c r="M2199" s="39">
        <f t="shared" si="140"/>
        <v>10.582010582010582</v>
      </c>
      <c r="N2199" t="s">
        <v>403</v>
      </c>
      <c r="O2199" t="s">
        <v>403</v>
      </c>
      <c r="P2199">
        <v>0</v>
      </c>
      <c r="Q2199">
        <v>0</v>
      </c>
      <c r="R2199" t="s">
        <v>2971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45169</v>
      </c>
      <c r="G2200">
        <v>2023</v>
      </c>
      <c r="H2200" t="s">
        <v>1546</v>
      </c>
      <c r="I2200" t="s">
        <v>28</v>
      </c>
      <c r="J2200">
        <v>200</v>
      </c>
      <c r="K2200">
        <v>20.9</v>
      </c>
      <c r="L2200" s="39">
        <f t="shared" si="139"/>
        <v>1.3</v>
      </c>
      <c r="M2200" s="39">
        <f t="shared" si="140"/>
        <v>9.5693779904306222</v>
      </c>
      <c r="N2200" t="s">
        <v>403</v>
      </c>
      <c r="O2200" t="s">
        <v>403</v>
      </c>
      <c r="P2200">
        <v>0</v>
      </c>
      <c r="Q2200">
        <v>0</v>
      </c>
      <c r="R2200" t="s">
        <v>2972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45199</v>
      </c>
      <c r="G2201">
        <v>2023</v>
      </c>
      <c r="H2201" t="s">
        <v>162</v>
      </c>
      <c r="I2201" t="s">
        <v>28</v>
      </c>
      <c r="J2201">
        <v>200</v>
      </c>
      <c r="K2201">
        <v>1803.72</v>
      </c>
      <c r="L2201" s="39">
        <f t="shared" si="139"/>
        <v>0.11088195507063181</v>
      </c>
      <c r="M2201" s="39">
        <f t="shared" si="140"/>
        <v>0.11088195507063181</v>
      </c>
      <c r="N2201" t="s">
        <v>403</v>
      </c>
      <c r="O2201" t="s">
        <v>403</v>
      </c>
      <c r="P2201">
        <v>0</v>
      </c>
      <c r="Q2201">
        <v>1</v>
      </c>
      <c r="R2201" t="s">
        <v>2973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45230</v>
      </c>
      <c r="G2202">
        <v>2023</v>
      </c>
      <c r="H2202" t="s">
        <v>150</v>
      </c>
      <c r="I2202" t="s">
        <v>28</v>
      </c>
      <c r="J2202">
        <v>200</v>
      </c>
      <c r="K2202">
        <v>2.1</v>
      </c>
      <c r="L2202" s="39">
        <f t="shared" si="139"/>
        <v>1.3</v>
      </c>
      <c r="M2202" s="39">
        <f t="shared" si="140"/>
        <v>95.238095238095241</v>
      </c>
      <c r="N2202" t="s">
        <v>403</v>
      </c>
      <c r="O2202" t="s">
        <v>403</v>
      </c>
      <c r="P2202">
        <v>0</v>
      </c>
      <c r="Q2202">
        <v>0</v>
      </c>
      <c r="R2202" t="s">
        <v>2974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45260</v>
      </c>
      <c r="G2203">
        <v>2023</v>
      </c>
      <c r="H2203" t="s">
        <v>1550</v>
      </c>
      <c r="I2203" t="s">
        <v>28</v>
      </c>
      <c r="J2203">
        <v>200</v>
      </c>
      <c r="K2203">
        <v>14.31</v>
      </c>
      <c r="L2203" s="39">
        <f t="shared" si="139"/>
        <v>1.3</v>
      </c>
      <c r="M2203" s="39">
        <f t="shared" si="140"/>
        <v>13.976240391334731</v>
      </c>
      <c r="N2203" t="s">
        <v>403</v>
      </c>
      <c r="O2203" t="s">
        <v>403</v>
      </c>
      <c r="P2203">
        <v>0</v>
      </c>
      <c r="Q2203">
        <v>0</v>
      </c>
      <c r="R2203" t="s">
        <v>2975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45291</v>
      </c>
      <c r="G2204">
        <v>2023</v>
      </c>
      <c r="H2204" t="s">
        <v>23</v>
      </c>
      <c r="I2204" t="s">
        <v>28</v>
      </c>
      <c r="J2204">
        <v>200</v>
      </c>
      <c r="K2204">
        <v>415.7</v>
      </c>
      <c r="L2204" s="39">
        <f t="shared" si="139"/>
        <v>0.4811161895597787</v>
      </c>
      <c r="M2204" s="39">
        <f t="shared" si="140"/>
        <v>0.4811161895597787</v>
      </c>
      <c r="N2204" t="s">
        <v>403</v>
      </c>
      <c r="O2204" t="s">
        <v>403</v>
      </c>
      <c r="P2204">
        <v>0</v>
      </c>
      <c r="Q2204">
        <v>0</v>
      </c>
      <c r="R2204" t="s">
        <v>1233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45322</v>
      </c>
      <c r="G2205">
        <v>2024</v>
      </c>
      <c r="H2205" t="s">
        <v>59</v>
      </c>
      <c r="I2205" t="s">
        <v>729</v>
      </c>
      <c r="J2205">
        <v>200</v>
      </c>
      <c r="K2205">
        <v>9.65</v>
      </c>
      <c r="L2205" s="39">
        <f t="shared" si="139"/>
        <v>1.3</v>
      </c>
      <c r="M2205" s="39">
        <f t="shared" si="140"/>
        <v>20.725388601036268</v>
      </c>
      <c r="N2205" t="s">
        <v>403</v>
      </c>
      <c r="O2205" t="s">
        <v>403</v>
      </c>
      <c r="P2205">
        <v>0</v>
      </c>
      <c r="Q2205">
        <v>1</v>
      </c>
      <c r="R2205" t="s">
        <v>2976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45351</v>
      </c>
      <c r="G2206">
        <v>2024</v>
      </c>
      <c r="H2206" t="s">
        <v>210</v>
      </c>
      <c r="I2206" t="s">
        <v>729</v>
      </c>
      <c r="J2206">
        <v>200</v>
      </c>
      <c r="K2206">
        <v>107.7</v>
      </c>
      <c r="L2206" s="39">
        <f t="shared" si="139"/>
        <v>1.3</v>
      </c>
      <c r="M2206" s="39">
        <f t="shared" si="140"/>
        <v>1.8570102135561746</v>
      </c>
      <c r="N2206" t="s">
        <v>403</v>
      </c>
      <c r="O2206" t="s">
        <v>403</v>
      </c>
      <c r="P2206">
        <v>0</v>
      </c>
      <c r="Q2206">
        <v>1</v>
      </c>
      <c r="R2206" t="s">
        <v>2977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45382</v>
      </c>
      <c r="G2207">
        <v>2024</v>
      </c>
      <c r="H2207" t="s">
        <v>1516</v>
      </c>
      <c r="I2207" t="s">
        <v>729</v>
      </c>
      <c r="J2207">
        <v>200</v>
      </c>
      <c r="K2207">
        <v>22.02</v>
      </c>
      <c r="L2207" s="39">
        <f t="shared" si="139"/>
        <v>1.3</v>
      </c>
      <c r="M2207" s="39">
        <f t="shared" si="140"/>
        <v>9.0826521344232525</v>
      </c>
      <c r="N2207" t="s">
        <v>403</v>
      </c>
      <c r="O2207" t="s">
        <v>403</v>
      </c>
      <c r="P2207">
        <v>0</v>
      </c>
      <c r="Q2207">
        <v>1</v>
      </c>
      <c r="R2207" t="s">
        <v>2978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45412</v>
      </c>
      <c r="G2208">
        <v>2024</v>
      </c>
      <c r="H2208" t="s">
        <v>1540</v>
      </c>
      <c r="I2208" t="s">
        <v>729</v>
      </c>
      <c r="J2208">
        <v>200</v>
      </c>
      <c r="K2208">
        <v>89.04</v>
      </c>
      <c r="L2208" s="39">
        <f t="shared" si="139"/>
        <v>1.3</v>
      </c>
      <c r="M2208" s="39">
        <f t="shared" si="140"/>
        <v>2.24618149146451</v>
      </c>
      <c r="N2208" t="s">
        <v>403</v>
      </c>
      <c r="O2208" t="s">
        <v>403</v>
      </c>
      <c r="P2208">
        <v>0</v>
      </c>
      <c r="Q2208">
        <v>1</v>
      </c>
      <c r="R2208" t="s">
        <v>2979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45443</v>
      </c>
      <c r="G2209">
        <v>2024</v>
      </c>
      <c r="H2209" t="s">
        <v>1542</v>
      </c>
      <c r="I2209" t="s">
        <v>729</v>
      </c>
      <c r="J2209">
        <v>200</v>
      </c>
      <c r="K2209">
        <v>42</v>
      </c>
      <c r="L2209" s="39">
        <f t="shared" ref="L2209:L2228" si="141">IFERROR(IF(OR(J2209=0,K2209=""),"",IF(E2209="Positivo",MIN(MAX(K2209/J2209,0),1.3),MIN(MAX(J2209/K2209,0),1.3))),"")</f>
        <v>1.3</v>
      </c>
      <c r="M2209" s="39">
        <f t="shared" ref="M2209:M2228" si="142">IFERROR(IF(OR(J2209=0,K2209=""),"",IF(E2209="Positivo",MAX(K2209/J2209,0),MAX(J2209/K2209,0))),"")</f>
        <v>4.7619047619047619</v>
      </c>
      <c r="N2209" t="s">
        <v>403</v>
      </c>
      <c r="O2209" t="s">
        <v>403</v>
      </c>
      <c r="P2209">
        <v>0</v>
      </c>
      <c r="Q2209">
        <v>0</v>
      </c>
      <c r="R2209" t="s">
        <v>2980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45473</v>
      </c>
      <c r="G2210">
        <v>2024</v>
      </c>
      <c r="H2210" t="s">
        <v>699</v>
      </c>
      <c r="I2210" t="s">
        <v>729</v>
      </c>
      <c r="J2210">
        <v>200</v>
      </c>
      <c r="K2210">
        <v>3219.1</v>
      </c>
      <c r="L2210" s="39">
        <f t="shared" si="141"/>
        <v>6.2129166537230905E-2</v>
      </c>
      <c r="M2210" s="39">
        <f t="shared" si="142"/>
        <v>6.2129166537230905E-2</v>
      </c>
      <c r="N2210" t="s">
        <v>403</v>
      </c>
      <c r="O2210" t="s">
        <v>403</v>
      </c>
      <c r="P2210">
        <v>0</v>
      </c>
      <c r="Q2210">
        <v>1</v>
      </c>
      <c r="R2210" t="s">
        <v>2981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45504</v>
      </c>
      <c r="G2211">
        <v>2024</v>
      </c>
      <c r="H2211" t="s">
        <v>260</v>
      </c>
      <c r="I2211" t="s">
        <v>30</v>
      </c>
      <c r="J2211">
        <v>200</v>
      </c>
      <c r="K2211">
        <v>1689.599975585938</v>
      </c>
      <c r="L2211" s="39">
        <f t="shared" si="141"/>
        <v>0.11837121383163006</v>
      </c>
      <c r="M2211" s="39">
        <f t="shared" si="142"/>
        <v>0.11837121383163006</v>
      </c>
      <c r="N2211" t="s">
        <v>403</v>
      </c>
      <c r="O2211" t="s">
        <v>403</v>
      </c>
      <c r="P2211">
        <v>0</v>
      </c>
      <c r="Q2211">
        <v>1</v>
      </c>
      <c r="R2211" t="s">
        <v>2982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45535</v>
      </c>
      <c r="G2212">
        <v>2024</v>
      </c>
      <c r="H2212" t="s">
        <v>1546</v>
      </c>
      <c r="I2212" t="s">
        <v>30</v>
      </c>
      <c r="J2212">
        <v>200</v>
      </c>
      <c r="K2212">
        <v>855.1</v>
      </c>
      <c r="L2212" s="39">
        <f t="shared" si="141"/>
        <v>0.23389077300900479</v>
      </c>
      <c r="M2212" s="39">
        <f t="shared" si="142"/>
        <v>0.23389077300900479</v>
      </c>
      <c r="N2212" t="s">
        <v>403</v>
      </c>
      <c r="O2212" t="s">
        <v>403</v>
      </c>
      <c r="P2212">
        <v>0</v>
      </c>
      <c r="Q2212">
        <v>1</v>
      </c>
      <c r="R2212" t="s">
        <v>2983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45565</v>
      </c>
      <c r="G2213">
        <v>2024</v>
      </c>
      <c r="H2213" t="s">
        <v>162</v>
      </c>
      <c r="I2213" t="s">
        <v>30</v>
      </c>
      <c r="J2213">
        <v>200</v>
      </c>
      <c r="K2213">
        <v>16.37</v>
      </c>
      <c r="L2213" s="39">
        <f t="shared" si="141"/>
        <v>1.3</v>
      </c>
      <c r="M2213" s="39">
        <f t="shared" si="142"/>
        <v>12.217470983506413</v>
      </c>
      <c r="N2213" t="s">
        <v>403</v>
      </c>
      <c r="O2213" t="s">
        <v>403</v>
      </c>
      <c r="P2213">
        <v>0</v>
      </c>
      <c r="Q2213">
        <v>1</v>
      </c>
      <c r="R2213" t="s">
        <v>2984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45596</v>
      </c>
      <c r="G2214">
        <v>2024</v>
      </c>
      <c r="H2214" t="s">
        <v>150</v>
      </c>
      <c r="I2214" t="s">
        <v>30</v>
      </c>
      <c r="J2214">
        <v>200</v>
      </c>
      <c r="K2214">
        <v>992.38</v>
      </c>
      <c r="L2214" s="39">
        <f t="shared" si="141"/>
        <v>0.2015357020496181</v>
      </c>
      <c r="M2214" s="39">
        <f t="shared" si="142"/>
        <v>0.2015357020496181</v>
      </c>
      <c r="N2214" t="s">
        <v>403</v>
      </c>
      <c r="O2214" t="s">
        <v>403</v>
      </c>
      <c r="P2214">
        <v>0</v>
      </c>
      <c r="Q2214">
        <v>1</v>
      </c>
      <c r="R2214" t="s">
        <v>2985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45626</v>
      </c>
      <c r="G2215">
        <v>2024</v>
      </c>
      <c r="H2215" t="s">
        <v>1550</v>
      </c>
      <c r="I2215" t="s">
        <v>30</v>
      </c>
      <c r="J2215">
        <v>200</v>
      </c>
      <c r="K2215">
        <v>73.88</v>
      </c>
      <c r="L2215" s="39">
        <f t="shared" si="141"/>
        <v>1.3</v>
      </c>
      <c r="M2215" s="39">
        <f t="shared" si="142"/>
        <v>2.7070925825663239</v>
      </c>
      <c r="N2215" t="s">
        <v>403</v>
      </c>
      <c r="O2215" t="s">
        <v>403</v>
      </c>
      <c r="P2215">
        <v>0</v>
      </c>
      <c r="Q2215">
        <v>1</v>
      </c>
      <c r="R2215" t="s">
        <v>2986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45657</v>
      </c>
      <c r="G2216">
        <v>2024</v>
      </c>
      <c r="H2216" t="s">
        <v>23</v>
      </c>
      <c r="I2216" t="s">
        <v>30</v>
      </c>
      <c r="J2216">
        <v>200</v>
      </c>
      <c r="K2216">
        <v>2364.4900977164511</v>
      </c>
      <c r="L2216" s="39">
        <f t="shared" si="141"/>
        <v>8.4584832980757071E-2</v>
      </c>
      <c r="M2216" s="39">
        <f t="shared" si="142"/>
        <v>8.4584832980757071E-2</v>
      </c>
      <c r="N2216" t="s">
        <v>403</v>
      </c>
      <c r="O2216" t="s">
        <v>403</v>
      </c>
      <c r="P2216">
        <v>0</v>
      </c>
      <c r="Q2216">
        <v>1</v>
      </c>
      <c r="R2216" t="s">
        <v>1235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45688</v>
      </c>
      <c r="G2217">
        <v>2025</v>
      </c>
      <c r="H2217" t="s">
        <v>59</v>
      </c>
      <c r="I2217" t="s">
        <v>700</v>
      </c>
      <c r="J2217">
        <v>200</v>
      </c>
      <c r="K2217">
        <v>2072.4699999999998</v>
      </c>
      <c r="L2217" s="39">
        <f t="shared" si="141"/>
        <v>9.6503206319029963E-2</v>
      </c>
      <c r="M2217" s="39">
        <f t="shared" si="142"/>
        <v>9.6503206319029963E-2</v>
      </c>
      <c r="N2217" t="s">
        <v>403</v>
      </c>
      <c r="O2217" t="s">
        <v>403</v>
      </c>
      <c r="P2217">
        <v>0</v>
      </c>
      <c r="Q2217">
        <v>1</v>
      </c>
      <c r="R2217" t="s">
        <v>2987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45716</v>
      </c>
      <c r="G2218">
        <v>2025</v>
      </c>
      <c r="H2218" t="s">
        <v>210</v>
      </c>
      <c r="I2218" t="s">
        <v>700</v>
      </c>
      <c r="J2218">
        <v>200</v>
      </c>
      <c r="K2218">
        <v>71.680000000000007</v>
      </c>
      <c r="L2218" s="39">
        <f t="shared" si="141"/>
        <v>1.3</v>
      </c>
      <c r="M2218" s="39">
        <f t="shared" si="142"/>
        <v>2.7901785714285712</v>
      </c>
      <c r="N2218" t="s">
        <v>403</v>
      </c>
      <c r="O2218" t="s">
        <v>403</v>
      </c>
      <c r="P2218">
        <v>0</v>
      </c>
      <c r="Q2218">
        <v>1</v>
      </c>
      <c r="R2218" t="s">
        <v>2988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45747</v>
      </c>
      <c r="G2219">
        <v>2025</v>
      </c>
      <c r="H2219" t="s">
        <v>1516</v>
      </c>
      <c r="I2219" t="s">
        <v>700</v>
      </c>
      <c r="J2219">
        <v>200</v>
      </c>
      <c r="K2219">
        <v>53.29</v>
      </c>
      <c r="L2219" s="39">
        <f t="shared" si="141"/>
        <v>1.3</v>
      </c>
      <c r="M2219" s="39">
        <f t="shared" si="142"/>
        <v>3.7530493525989868</v>
      </c>
      <c r="N2219" t="s">
        <v>403</v>
      </c>
      <c r="O2219" t="s">
        <v>403</v>
      </c>
      <c r="P2219">
        <v>0</v>
      </c>
      <c r="Q2219">
        <v>1</v>
      </c>
      <c r="R2219" t="s">
        <v>2989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45777</v>
      </c>
      <c r="G2220">
        <v>2025</v>
      </c>
      <c r="H2220" t="s">
        <v>1540</v>
      </c>
      <c r="I2220" t="s">
        <v>700</v>
      </c>
      <c r="J2220">
        <v>200</v>
      </c>
      <c r="K2220">
        <v>126.74</v>
      </c>
      <c r="L2220" s="39">
        <f t="shared" si="141"/>
        <v>1.3</v>
      </c>
      <c r="M2220" s="39">
        <f t="shared" si="142"/>
        <v>1.5780337699226763</v>
      </c>
      <c r="N2220" t="s">
        <v>403</v>
      </c>
      <c r="O2220" t="s">
        <v>403</v>
      </c>
      <c r="P2220">
        <v>0</v>
      </c>
      <c r="Q2220">
        <v>1</v>
      </c>
      <c r="R2220" t="s">
        <v>2990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45808</v>
      </c>
      <c r="G2221">
        <v>2025</v>
      </c>
      <c r="H2221" t="s">
        <v>1542</v>
      </c>
      <c r="I2221" t="s">
        <v>700</v>
      </c>
      <c r="J2221">
        <v>200</v>
      </c>
      <c r="K2221">
        <v>12.6</v>
      </c>
      <c r="L2221" s="39">
        <f t="shared" si="141"/>
        <v>1.3</v>
      </c>
      <c r="M2221" s="39">
        <f t="shared" si="142"/>
        <v>15.873015873015873</v>
      </c>
      <c r="N2221" t="s">
        <v>403</v>
      </c>
      <c r="O2221" t="s">
        <v>403</v>
      </c>
      <c r="P2221">
        <v>0</v>
      </c>
      <c r="Q2221">
        <v>1</v>
      </c>
      <c r="R2221" t="s">
        <v>2991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45838</v>
      </c>
      <c r="G2222">
        <v>2025</v>
      </c>
      <c r="H2222" t="s">
        <v>699</v>
      </c>
      <c r="I2222" t="s">
        <v>700</v>
      </c>
      <c r="J2222">
        <v>200</v>
      </c>
      <c r="K2222">
        <v>130.58000000000001</v>
      </c>
      <c r="L2222" s="39">
        <f t="shared" si="141"/>
        <v>1.3</v>
      </c>
      <c r="M2222" s="39">
        <f t="shared" si="142"/>
        <v>1.5316281206922957</v>
      </c>
      <c r="N2222" t="s">
        <v>403</v>
      </c>
      <c r="O2222" t="s">
        <v>403</v>
      </c>
      <c r="P2222">
        <v>0</v>
      </c>
      <c r="Q2222">
        <v>1</v>
      </c>
      <c r="R2222" t="s">
        <v>2992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45869</v>
      </c>
      <c r="G2223">
        <v>2025</v>
      </c>
      <c r="H2223" t="s">
        <v>260</v>
      </c>
      <c r="I2223" t="s">
        <v>32</v>
      </c>
      <c r="J2223">
        <v>200</v>
      </c>
      <c r="K2223">
        <v>312.11</v>
      </c>
      <c r="L2223" s="39">
        <f t="shared" si="141"/>
        <v>0.64079971804812408</v>
      </c>
      <c r="M2223" s="39">
        <f t="shared" si="142"/>
        <v>0.64079971804812408</v>
      </c>
      <c r="N2223" t="s">
        <v>403</v>
      </c>
      <c r="O2223" t="s">
        <v>403</v>
      </c>
      <c r="P2223">
        <v>0</v>
      </c>
      <c r="Q2223">
        <v>0</v>
      </c>
      <c r="R2223" t="s">
        <v>2993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45900</v>
      </c>
      <c r="G2224">
        <v>2025</v>
      </c>
      <c r="H2224" t="s">
        <v>1546</v>
      </c>
      <c r="I2224" t="s">
        <v>32</v>
      </c>
      <c r="J2224">
        <v>200</v>
      </c>
      <c r="K2224">
        <v>84.75</v>
      </c>
      <c r="L2224" s="39">
        <f t="shared" si="141"/>
        <v>1.3</v>
      </c>
      <c r="M2224" s="39">
        <f t="shared" si="142"/>
        <v>2.359882005899705</v>
      </c>
      <c r="N2224" t="s">
        <v>403</v>
      </c>
      <c r="O2224" t="s">
        <v>403</v>
      </c>
      <c r="P2224">
        <v>0</v>
      </c>
      <c r="Q2224">
        <v>0</v>
      </c>
      <c r="R2224" t="s">
        <v>2994</v>
      </c>
    </row>
    <row r="2225" spans="1:19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45930</v>
      </c>
      <c r="G2225">
        <v>2025</v>
      </c>
      <c r="H2225" t="s">
        <v>162</v>
      </c>
      <c r="I2225" t="s">
        <v>32</v>
      </c>
      <c r="J2225">
        <v>200</v>
      </c>
      <c r="K2225">
        <v>109.73</v>
      </c>
      <c r="L2225" s="39">
        <f t="shared" si="141"/>
        <v>1.3</v>
      </c>
      <c r="M2225" s="39">
        <f t="shared" si="142"/>
        <v>1.8226556092226374</v>
      </c>
      <c r="N2225" t="s">
        <v>403</v>
      </c>
      <c r="O2225" t="s">
        <v>403</v>
      </c>
      <c r="P2225">
        <v>0</v>
      </c>
      <c r="Q2225">
        <v>0</v>
      </c>
      <c r="R2225" t="s">
        <v>2995</v>
      </c>
    </row>
    <row r="2226" spans="1:19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45961</v>
      </c>
      <c r="G2226">
        <v>2025</v>
      </c>
      <c r="H2226" t="s">
        <v>150</v>
      </c>
      <c r="I2226" t="s">
        <v>32</v>
      </c>
      <c r="J2226">
        <v>200</v>
      </c>
      <c r="K2226">
        <v>4524.46</v>
      </c>
      <c r="L2226" s="39">
        <f t="shared" si="141"/>
        <v>4.420417022141869E-2</v>
      </c>
      <c r="M2226" s="39">
        <f t="shared" si="142"/>
        <v>4.420417022141869E-2</v>
      </c>
      <c r="N2226" t="s">
        <v>403</v>
      </c>
      <c r="O2226" t="s">
        <v>403</v>
      </c>
      <c r="P2226">
        <v>0</v>
      </c>
      <c r="Q2226">
        <v>0</v>
      </c>
      <c r="R2226" t="s">
        <v>2996</v>
      </c>
    </row>
    <row r="2227" spans="1:19" hidden="1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45991</v>
      </c>
      <c r="G2227">
        <v>2025</v>
      </c>
      <c r="H2227" t="s">
        <v>1550</v>
      </c>
      <c r="I2227" t="s">
        <v>32</v>
      </c>
      <c r="J2227">
        <v>200</v>
      </c>
      <c r="K2227">
        <v>285.14999999999998</v>
      </c>
      <c r="L2227" s="39">
        <f t="shared" si="141"/>
        <v>0.7013852358407856</v>
      </c>
      <c r="M2227" s="39">
        <f t="shared" si="142"/>
        <v>0.7013852358407856</v>
      </c>
      <c r="N2227" t="s">
        <v>403</v>
      </c>
      <c r="O2227" t="s">
        <v>403</v>
      </c>
      <c r="P2227">
        <v>0</v>
      </c>
      <c r="Q2227">
        <v>0</v>
      </c>
      <c r="R2227" t="s">
        <v>2997</v>
      </c>
    </row>
    <row r="2228" spans="1:19" hidden="1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46022</v>
      </c>
      <c r="G2228">
        <v>2025</v>
      </c>
      <c r="H2228" t="s">
        <v>23</v>
      </c>
      <c r="I2228" t="s">
        <v>32</v>
      </c>
      <c r="J2228">
        <v>200</v>
      </c>
      <c r="K2228">
        <v>150.1299935057759</v>
      </c>
      <c r="L2228" s="39">
        <f t="shared" si="141"/>
        <v>1.3</v>
      </c>
      <c r="M2228" s="39">
        <f t="shared" si="142"/>
        <v>1.33217883601857</v>
      </c>
      <c r="N2228" t="s">
        <v>403</v>
      </c>
      <c r="O2228" t="s">
        <v>403</v>
      </c>
      <c r="P2228">
        <v>0</v>
      </c>
      <c r="Q2228">
        <v>0</v>
      </c>
      <c r="R2228" t="s">
        <v>1236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21</v>
      </c>
      <c r="E2229" t="s">
        <v>22</v>
      </c>
      <c r="F2229" s="79">
        <v>45107</v>
      </c>
      <c r="G2229">
        <v>2023</v>
      </c>
      <c r="H2229" t="s">
        <v>699</v>
      </c>
      <c r="I2229" t="s">
        <v>1512</v>
      </c>
      <c r="J2229">
        <v>100</v>
      </c>
      <c r="L2229" s="39"/>
      <c r="M2229" s="39"/>
      <c r="N2229" t="s">
        <v>25</v>
      </c>
      <c r="O2229" t="s">
        <v>302</v>
      </c>
      <c r="P2229">
        <v>2</v>
      </c>
      <c r="Q2229">
        <v>2</v>
      </c>
      <c r="R2229" t="s">
        <v>2998</v>
      </c>
      <c r="S2229" t="s">
        <v>302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45291</v>
      </c>
      <c r="G2230">
        <v>2023</v>
      </c>
      <c r="H2230" t="s">
        <v>23</v>
      </c>
      <c r="I2230" t="s">
        <v>28</v>
      </c>
      <c r="J2230">
        <v>100</v>
      </c>
      <c r="K2230">
        <v>-111.57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1238</v>
      </c>
    </row>
    <row r="2231" spans="1:19" hidden="1" x14ac:dyDescent="0.3">
      <c r="A2231">
        <v>435</v>
      </c>
      <c r="B2231" t="s">
        <v>1237</v>
      </c>
      <c r="C2231" t="s">
        <v>190</v>
      </c>
      <c r="D2231" t="s">
        <v>27</v>
      </c>
      <c r="E2231" t="s">
        <v>22</v>
      </c>
      <c r="F2231" s="79">
        <v>45473</v>
      </c>
      <c r="G2231">
        <v>2024</v>
      </c>
      <c r="H2231" t="s">
        <v>699</v>
      </c>
      <c r="I2231" t="s">
        <v>729</v>
      </c>
      <c r="J2231">
        <v>100</v>
      </c>
      <c r="K2231">
        <v>-20.67</v>
      </c>
      <c r="L2231" s="39">
        <f>IFERROR(IF(OR(J2231=0,K2231=""),"",IF(E2231="Positivo",MIN(MAX(K2231/J2231,0),1.3),MIN(MAX(J2231/K2231,0),1.3))),"")</f>
        <v>0</v>
      </c>
      <c r="M2231" s="39">
        <f>IFERROR(IF(OR(J2231=0,K2231=""),"",IF(E2231="Positivo",MAX(K2231/J2231,0),MAX(J2231/K2231,0))),"")</f>
        <v>0</v>
      </c>
      <c r="N2231" t="s">
        <v>25</v>
      </c>
      <c r="O2231" t="s">
        <v>25</v>
      </c>
      <c r="P2231">
        <v>2</v>
      </c>
      <c r="Q2231">
        <v>2</v>
      </c>
      <c r="R2231" t="s">
        <v>2999</v>
      </c>
    </row>
    <row r="2232" spans="1:19" hidden="1" x14ac:dyDescent="0.3">
      <c r="A2232">
        <v>435</v>
      </c>
      <c r="B2232" t="s">
        <v>1237</v>
      </c>
      <c r="C2232" t="s">
        <v>190</v>
      </c>
      <c r="D2232" t="s">
        <v>27</v>
      </c>
      <c r="E2232" t="s">
        <v>22</v>
      </c>
      <c r="F2232" s="79">
        <v>45657</v>
      </c>
      <c r="G2232">
        <v>2024</v>
      </c>
      <c r="H2232" t="s">
        <v>23</v>
      </c>
      <c r="I2232" t="s">
        <v>30</v>
      </c>
      <c r="J2232">
        <v>100</v>
      </c>
      <c r="K2232">
        <v>71.09</v>
      </c>
      <c r="L2232" s="39">
        <f>IFERROR(IF(OR(J2232=0,K2232=""),"",IF(E2232="Positivo",MIN(MAX(K2232/J2232,0),1.3),MIN(MAX(J2232/K2232,0),1.3))),"")</f>
        <v>0.71090000000000009</v>
      </c>
      <c r="M2232" s="39">
        <f>IFERROR(IF(OR(J2232=0,K2232=""),"",IF(E2232="Positivo",MAX(K2232/J2232,0),MAX(J2232/K2232,0))),"")</f>
        <v>0.71090000000000009</v>
      </c>
      <c r="N2232" t="s">
        <v>25</v>
      </c>
      <c r="O2232" t="s">
        <v>25</v>
      </c>
      <c r="P2232">
        <v>2</v>
      </c>
      <c r="Q2232">
        <v>2</v>
      </c>
      <c r="R2232" t="s">
        <v>1239</v>
      </c>
    </row>
    <row r="2233" spans="1:19" hidden="1" x14ac:dyDescent="0.3">
      <c r="A2233">
        <v>435</v>
      </c>
      <c r="B2233" t="s">
        <v>1237</v>
      </c>
      <c r="C2233" t="s">
        <v>190</v>
      </c>
      <c r="D2233" t="s">
        <v>27</v>
      </c>
      <c r="E2233" t="s">
        <v>22</v>
      </c>
      <c r="F2233" s="79">
        <v>45838</v>
      </c>
      <c r="G2233">
        <v>2025</v>
      </c>
      <c r="H2233" t="s">
        <v>699</v>
      </c>
      <c r="I2233" t="s">
        <v>700</v>
      </c>
      <c r="J2233">
        <v>1</v>
      </c>
      <c r="K2233">
        <v>96.09</v>
      </c>
      <c r="L2233" s="39">
        <f>IFERROR(IF(OR(J2233=0,K2233=""),"",IF(E2233="Positivo",MIN(MAX(K2233/J2233,0),1.3),MIN(MAX(J2233/K2233,0),1.3))),"")</f>
        <v>1.3</v>
      </c>
      <c r="M2233" s="39">
        <f>IFERROR(IF(OR(J2233=0,K2233=""),"",IF(E2233="Positivo",MAX(K2233/J2233,0),MAX(J2233/K2233,0))),"")</f>
        <v>96.09</v>
      </c>
      <c r="N2233" t="s">
        <v>25</v>
      </c>
      <c r="O2233" t="s">
        <v>25</v>
      </c>
      <c r="P2233">
        <v>2</v>
      </c>
      <c r="Q2233">
        <v>2</v>
      </c>
      <c r="R2233" t="s">
        <v>3000</v>
      </c>
    </row>
    <row r="2234" spans="1:19" hidden="1" x14ac:dyDescent="0.3">
      <c r="A2234">
        <v>435</v>
      </c>
      <c r="B2234" t="s">
        <v>1237</v>
      </c>
      <c r="C2234" t="s">
        <v>190</v>
      </c>
      <c r="D2234" t="s">
        <v>21</v>
      </c>
      <c r="E2234" t="s">
        <v>22</v>
      </c>
      <c r="F2234" s="79">
        <v>46022</v>
      </c>
      <c r="G2234">
        <v>2025</v>
      </c>
      <c r="H2234" t="s">
        <v>23</v>
      </c>
      <c r="I2234" t="s">
        <v>32</v>
      </c>
      <c r="J2234">
        <v>1</v>
      </c>
      <c r="K2234">
        <v>-732.08</v>
      </c>
      <c r="L2234" s="39">
        <f>IFERROR(IF(OR(J2234=0,K2234=""),"",IF(E2234="Positivo",MIN(MAX(K2234/J2234,0),1.3),MIN(MAX(J2234/K2234,0),1.3))),"")</f>
        <v>0</v>
      </c>
      <c r="M2234" s="39">
        <f>IFERROR(IF(OR(J2234=0,K2234=""),"",IF(E2234="Positivo",MAX(K2234/J2234,0),MAX(J2234/K2234,0))),"")</f>
        <v>0</v>
      </c>
      <c r="N2234" t="s">
        <v>25</v>
      </c>
      <c r="O2234" t="s">
        <v>25</v>
      </c>
      <c r="P2234">
        <v>2</v>
      </c>
      <c r="Q2234">
        <v>2</v>
      </c>
      <c r="R2234" t="s">
        <v>1240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44957</v>
      </c>
      <c r="G2235">
        <v>2023</v>
      </c>
      <c r="H2235" t="s">
        <v>59</v>
      </c>
      <c r="I2235" t="s">
        <v>1512</v>
      </c>
      <c r="J2235">
        <v>14</v>
      </c>
      <c r="L2235" s="39"/>
      <c r="M2235" s="39"/>
      <c r="N2235" t="s">
        <v>42</v>
      </c>
      <c r="O2235" t="s">
        <v>302</v>
      </c>
      <c r="P2235">
        <v>0</v>
      </c>
      <c r="Q2235">
        <v>1</v>
      </c>
      <c r="R2235" t="s">
        <v>3001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44985</v>
      </c>
      <c r="G2236">
        <v>2023</v>
      </c>
      <c r="H2236" t="s">
        <v>210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3002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45016</v>
      </c>
      <c r="G2237">
        <v>2023</v>
      </c>
      <c r="H2237" t="s">
        <v>1516</v>
      </c>
      <c r="I2237" t="s">
        <v>1512</v>
      </c>
      <c r="J2237">
        <v>14</v>
      </c>
      <c r="L2237" s="39"/>
      <c r="M2237" s="39"/>
      <c r="N2237" t="s">
        <v>42</v>
      </c>
      <c r="O2237" t="s">
        <v>302</v>
      </c>
      <c r="P2237">
        <v>0</v>
      </c>
      <c r="Q2237">
        <v>1</v>
      </c>
      <c r="R2237" t="s">
        <v>3003</v>
      </c>
      <c r="S2237" t="s">
        <v>302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45046</v>
      </c>
      <c r="G2238">
        <v>2023</v>
      </c>
      <c r="H2238" t="s">
        <v>1540</v>
      </c>
      <c r="I2238" t="s">
        <v>1512</v>
      </c>
      <c r="J2238">
        <v>14</v>
      </c>
      <c r="N2238" t="s">
        <v>42</v>
      </c>
      <c r="O2238" t="s">
        <v>302</v>
      </c>
      <c r="P2238">
        <v>0</v>
      </c>
      <c r="Q2238">
        <v>1</v>
      </c>
      <c r="R2238" t="s">
        <v>3004</v>
      </c>
      <c r="S2238" t="s">
        <v>302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45077</v>
      </c>
      <c r="G2239">
        <v>2023</v>
      </c>
      <c r="H2239" t="s">
        <v>1542</v>
      </c>
      <c r="I2239" t="s">
        <v>1512</v>
      </c>
      <c r="J2239">
        <v>14</v>
      </c>
      <c r="N2239" t="s">
        <v>42</v>
      </c>
      <c r="O2239" t="s">
        <v>302</v>
      </c>
      <c r="P2239">
        <v>0</v>
      </c>
      <c r="Q2239">
        <v>1</v>
      </c>
      <c r="R2239" t="s">
        <v>3005</v>
      </c>
      <c r="S2239" t="s">
        <v>302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45107</v>
      </c>
      <c r="G2240">
        <v>2023</v>
      </c>
      <c r="H2240" t="s">
        <v>699</v>
      </c>
      <c r="I2240" t="s">
        <v>1512</v>
      </c>
      <c r="J2240">
        <v>14</v>
      </c>
      <c r="L2240" s="39"/>
      <c r="M2240" s="39"/>
      <c r="N2240" t="s">
        <v>42</v>
      </c>
      <c r="O2240" t="s">
        <v>302</v>
      </c>
      <c r="P2240">
        <v>0</v>
      </c>
      <c r="Q2240">
        <v>1</v>
      </c>
      <c r="R2240" t="s">
        <v>3006</v>
      </c>
      <c r="S2240" t="s">
        <v>302</v>
      </c>
    </row>
    <row r="2241" spans="1:18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45138</v>
      </c>
      <c r="G2241">
        <v>2023</v>
      </c>
      <c r="H2241" t="s">
        <v>260</v>
      </c>
      <c r="I2241" t="s">
        <v>28</v>
      </c>
      <c r="J2241">
        <v>21</v>
      </c>
      <c r="K2241">
        <v>11.7</v>
      </c>
      <c r="L2241" s="39">
        <f t="shared" ref="L2241:L2275" si="143">IFERROR(IF(OR(J2241=0,K2241=""),"",IF(E2241="Positivo",MIN(MAX(K2241/J2241,0),1.3),MIN(MAX(J2241/K2241,0),1.3))),"")</f>
        <v>1.3</v>
      </c>
      <c r="M2241" s="39">
        <f t="shared" ref="M2241:M2275" si="144">IFERROR(IF(OR(J2241=0,K2241=""),"",IF(E2241="Positivo",MAX(K2241/J2241,0),MAX(J2241/K2241,0))),"")</f>
        <v>1.7948717948717949</v>
      </c>
      <c r="N2241" t="s">
        <v>42</v>
      </c>
      <c r="O2241" t="s">
        <v>42</v>
      </c>
      <c r="P2241">
        <v>0</v>
      </c>
      <c r="Q2241">
        <v>0</v>
      </c>
      <c r="R2241" t="s">
        <v>3007</v>
      </c>
    </row>
    <row r="2242" spans="1:18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45169</v>
      </c>
      <c r="G2242">
        <v>2023</v>
      </c>
      <c r="H2242" t="s">
        <v>1546</v>
      </c>
      <c r="I2242" t="s">
        <v>28</v>
      </c>
      <c r="J2242">
        <v>21</v>
      </c>
      <c r="K2242">
        <v>8.6999999999999993</v>
      </c>
      <c r="L2242" s="39">
        <f t="shared" si="143"/>
        <v>1.3</v>
      </c>
      <c r="M2242" s="39">
        <f t="shared" si="144"/>
        <v>2.4137931034482762</v>
      </c>
      <c r="N2242" t="s">
        <v>42</v>
      </c>
      <c r="O2242" t="s">
        <v>42</v>
      </c>
      <c r="P2242">
        <v>0</v>
      </c>
      <c r="Q2242">
        <v>0</v>
      </c>
      <c r="R2242" t="s">
        <v>3008</v>
      </c>
    </row>
    <row r="2243" spans="1:18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45199</v>
      </c>
      <c r="G2243">
        <v>2023</v>
      </c>
      <c r="H2243" t="s">
        <v>162</v>
      </c>
      <c r="I2243" t="s">
        <v>28</v>
      </c>
      <c r="J2243">
        <v>21</v>
      </c>
      <c r="K2243">
        <v>17.3</v>
      </c>
      <c r="L2243" s="39">
        <f t="shared" si="143"/>
        <v>1.2138728323699421</v>
      </c>
      <c r="M2243" s="39">
        <f t="shared" si="144"/>
        <v>1.2138728323699421</v>
      </c>
      <c r="N2243" t="s">
        <v>42</v>
      </c>
      <c r="O2243" t="s">
        <v>42</v>
      </c>
      <c r="P2243">
        <v>0</v>
      </c>
      <c r="Q2243">
        <v>0</v>
      </c>
      <c r="R2243" t="s">
        <v>3009</v>
      </c>
    </row>
    <row r="2244" spans="1:18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45230</v>
      </c>
      <c r="G2244">
        <v>2023</v>
      </c>
      <c r="H2244" t="s">
        <v>150</v>
      </c>
      <c r="I2244" t="s">
        <v>28</v>
      </c>
      <c r="J2244">
        <v>21</v>
      </c>
      <c r="K2244">
        <v>5.0999999999999996</v>
      </c>
      <c r="L2244" s="39">
        <f t="shared" si="143"/>
        <v>1.3</v>
      </c>
      <c r="M2244" s="39">
        <f t="shared" si="144"/>
        <v>4.1176470588235299</v>
      </c>
      <c r="N2244" t="s">
        <v>42</v>
      </c>
      <c r="O2244" t="s">
        <v>42</v>
      </c>
      <c r="P2244">
        <v>0</v>
      </c>
      <c r="Q2244">
        <v>0</v>
      </c>
      <c r="R2244" t="s">
        <v>3010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45260</v>
      </c>
      <c r="G2245">
        <v>2023</v>
      </c>
      <c r="H2245" t="s">
        <v>1550</v>
      </c>
      <c r="I2245" t="s">
        <v>28</v>
      </c>
      <c r="J2245">
        <v>21</v>
      </c>
      <c r="K2245">
        <v>10.91</v>
      </c>
      <c r="L2245" s="39">
        <f t="shared" si="143"/>
        <v>1.3</v>
      </c>
      <c r="M2245" s="39">
        <f t="shared" si="144"/>
        <v>1.9248395967002749</v>
      </c>
      <c r="N2245" t="s">
        <v>42</v>
      </c>
      <c r="O2245" t="s">
        <v>42</v>
      </c>
      <c r="P2245">
        <v>0</v>
      </c>
      <c r="Q2245">
        <v>0</v>
      </c>
      <c r="R2245" t="s">
        <v>3011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45291</v>
      </c>
      <c r="G2246">
        <v>2023</v>
      </c>
      <c r="H2246" t="s">
        <v>23</v>
      </c>
      <c r="I2246" t="s">
        <v>28</v>
      </c>
      <c r="J2246">
        <v>21</v>
      </c>
      <c r="K2246">
        <v>12.7</v>
      </c>
      <c r="L2246" s="39">
        <f t="shared" si="143"/>
        <v>1.3</v>
      </c>
      <c r="M2246" s="39">
        <f t="shared" si="144"/>
        <v>1.6535433070866143</v>
      </c>
      <c r="N2246" t="s">
        <v>42</v>
      </c>
      <c r="O2246" t="s">
        <v>42</v>
      </c>
      <c r="P2246">
        <v>0</v>
      </c>
      <c r="Q2246">
        <v>0</v>
      </c>
      <c r="R2246" t="s">
        <v>1242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45322</v>
      </c>
      <c r="G2247">
        <v>2024</v>
      </c>
      <c r="H2247" t="s">
        <v>59</v>
      </c>
      <c r="I2247" t="s">
        <v>729</v>
      </c>
      <c r="J2247">
        <v>14</v>
      </c>
      <c r="K2247">
        <v>9.6999999999999993</v>
      </c>
      <c r="L2247" s="39">
        <f t="shared" si="143"/>
        <v>1.3</v>
      </c>
      <c r="M2247" s="39">
        <f t="shared" si="144"/>
        <v>1.4432989690721651</v>
      </c>
      <c r="N2247" t="s">
        <v>42</v>
      </c>
      <c r="O2247" t="s">
        <v>42</v>
      </c>
      <c r="P2247">
        <v>0</v>
      </c>
      <c r="Q2247">
        <v>0</v>
      </c>
      <c r="R2247" t="s">
        <v>3012</v>
      </c>
    </row>
    <row r="2248" spans="1:18" s="2" customFormat="1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45351</v>
      </c>
      <c r="G2248">
        <v>2024</v>
      </c>
      <c r="H2248" t="s">
        <v>210</v>
      </c>
      <c r="I2248" t="s">
        <v>729</v>
      </c>
      <c r="J2248">
        <v>14</v>
      </c>
      <c r="K2248">
        <v>13.5</v>
      </c>
      <c r="L2248" s="39">
        <f t="shared" si="143"/>
        <v>1.037037037037037</v>
      </c>
      <c r="M2248" s="39">
        <f t="shared" si="144"/>
        <v>1.037037037037037</v>
      </c>
      <c r="N2248" t="s">
        <v>42</v>
      </c>
      <c r="O2248" t="s">
        <v>42</v>
      </c>
      <c r="P2248">
        <v>0</v>
      </c>
      <c r="Q2248">
        <v>0</v>
      </c>
      <c r="R2248" t="s">
        <v>3013</v>
      </c>
    </row>
    <row r="2249" spans="1:18" s="2" customFormat="1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45382</v>
      </c>
      <c r="G2249">
        <v>2024</v>
      </c>
      <c r="H2249" t="s">
        <v>1516</v>
      </c>
      <c r="I2249" t="s">
        <v>729</v>
      </c>
      <c r="J2249">
        <v>14</v>
      </c>
      <c r="K2249">
        <v>15.7</v>
      </c>
      <c r="L2249" s="39">
        <f t="shared" si="143"/>
        <v>0.89171974522292996</v>
      </c>
      <c r="M2249" s="39">
        <f t="shared" si="144"/>
        <v>0.89171974522292996</v>
      </c>
      <c r="N2249" t="s">
        <v>42</v>
      </c>
      <c r="O2249" t="s">
        <v>42</v>
      </c>
      <c r="P2249">
        <v>0</v>
      </c>
      <c r="Q2249">
        <v>0</v>
      </c>
      <c r="R2249" t="s">
        <v>3014</v>
      </c>
    </row>
    <row r="2250" spans="1:18" s="2" customFormat="1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45412</v>
      </c>
      <c r="G2250">
        <v>2024</v>
      </c>
      <c r="H2250" t="s">
        <v>1540</v>
      </c>
      <c r="I2250" t="s">
        <v>729</v>
      </c>
      <c r="J2250">
        <v>14</v>
      </c>
      <c r="K2250">
        <v>11.1</v>
      </c>
      <c r="L2250" s="39">
        <f t="shared" si="143"/>
        <v>1.2612612612612613</v>
      </c>
      <c r="M2250" s="39">
        <f t="shared" si="144"/>
        <v>1.2612612612612613</v>
      </c>
      <c r="N2250" t="s">
        <v>42</v>
      </c>
      <c r="O2250" t="s">
        <v>42</v>
      </c>
      <c r="P2250">
        <v>0</v>
      </c>
      <c r="Q2250">
        <v>0</v>
      </c>
      <c r="R2250" t="s">
        <v>3015</v>
      </c>
    </row>
    <row r="2251" spans="1:18" s="2" customFormat="1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45443</v>
      </c>
      <c r="G2251">
        <v>2024</v>
      </c>
      <c r="H2251" t="s">
        <v>1542</v>
      </c>
      <c r="I2251" t="s">
        <v>729</v>
      </c>
      <c r="J2251">
        <v>14</v>
      </c>
      <c r="K2251">
        <v>10.6</v>
      </c>
      <c r="L2251" s="39">
        <f t="shared" si="143"/>
        <v>1.3</v>
      </c>
      <c r="M2251" s="39">
        <f t="shared" si="144"/>
        <v>1.3207547169811322</v>
      </c>
      <c r="N2251" t="s">
        <v>42</v>
      </c>
      <c r="O2251" t="s">
        <v>42</v>
      </c>
      <c r="P2251">
        <v>0</v>
      </c>
      <c r="Q2251">
        <v>0</v>
      </c>
      <c r="R2251" t="s">
        <v>3016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45473</v>
      </c>
      <c r="G2252">
        <v>2024</v>
      </c>
      <c r="H2252" t="s">
        <v>699</v>
      </c>
      <c r="I2252" t="s">
        <v>729</v>
      </c>
      <c r="J2252">
        <v>14</v>
      </c>
      <c r="K2252">
        <v>8.8000000000000007</v>
      </c>
      <c r="L2252" s="39">
        <f t="shared" si="143"/>
        <v>1.3</v>
      </c>
      <c r="M2252" s="39">
        <f t="shared" si="144"/>
        <v>1.5909090909090908</v>
      </c>
      <c r="N2252" t="s">
        <v>42</v>
      </c>
      <c r="O2252" t="s">
        <v>42</v>
      </c>
      <c r="P2252">
        <v>0</v>
      </c>
      <c r="Q2252">
        <v>0</v>
      </c>
      <c r="R2252" t="s">
        <v>3017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45504</v>
      </c>
      <c r="G2253">
        <v>2024</v>
      </c>
      <c r="H2253" t="s">
        <v>260</v>
      </c>
      <c r="I2253" t="s">
        <v>30</v>
      </c>
      <c r="J2253">
        <v>14</v>
      </c>
      <c r="K2253">
        <v>9.4</v>
      </c>
      <c r="L2253" s="39">
        <f t="shared" si="143"/>
        <v>1.3</v>
      </c>
      <c r="M2253" s="39">
        <f t="shared" si="144"/>
        <v>1.4893617021276595</v>
      </c>
      <c r="N2253" t="s">
        <v>42</v>
      </c>
      <c r="O2253" t="s">
        <v>42</v>
      </c>
      <c r="P2253">
        <v>0</v>
      </c>
      <c r="Q2253">
        <v>0</v>
      </c>
      <c r="R2253" t="s">
        <v>3018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45535</v>
      </c>
      <c r="G2254">
        <v>2024</v>
      </c>
      <c r="H2254" t="s">
        <v>1546</v>
      </c>
      <c r="I2254" t="s">
        <v>30</v>
      </c>
      <c r="J2254">
        <v>14</v>
      </c>
      <c r="K2254">
        <v>8.5</v>
      </c>
      <c r="L2254" s="39">
        <f t="shared" si="143"/>
        <v>1.3</v>
      </c>
      <c r="M2254" s="39">
        <f t="shared" si="144"/>
        <v>1.6470588235294117</v>
      </c>
      <c r="N2254" t="s">
        <v>42</v>
      </c>
      <c r="O2254" t="s">
        <v>42</v>
      </c>
      <c r="P2254">
        <v>0</v>
      </c>
      <c r="Q2254">
        <v>0</v>
      </c>
      <c r="R2254" t="s">
        <v>3019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45565</v>
      </c>
      <c r="G2255">
        <v>2024</v>
      </c>
      <c r="H2255" t="s">
        <v>162</v>
      </c>
      <c r="I2255" t="s">
        <v>30</v>
      </c>
      <c r="J2255">
        <v>14</v>
      </c>
      <c r="K2255">
        <v>10.5</v>
      </c>
      <c r="L2255" s="39">
        <f t="shared" si="143"/>
        <v>1.3</v>
      </c>
      <c r="M2255" s="39">
        <f t="shared" si="144"/>
        <v>1.3333333333333333</v>
      </c>
      <c r="N2255" t="s">
        <v>42</v>
      </c>
      <c r="O2255" t="s">
        <v>42</v>
      </c>
      <c r="P2255">
        <v>0</v>
      </c>
      <c r="Q2255">
        <v>0</v>
      </c>
      <c r="R2255" t="s">
        <v>3020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45596</v>
      </c>
      <c r="G2256">
        <v>2024</v>
      </c>
      <c r="H2256" t="s">
        <v>150</v>
      </c>
      <c r="I2256" t="s">
        <v>30</v>
      </c>
      <c r="J2256">
        <v>14</v>
      </c>
      <c r="K2256">
        <v>8</v>
      </c>
      <c r="L2256" s="39">
        <f t="shared" si="143"/>
        <v>1.3</v>
      </c>
      <c r="M2256" s="39">
        <f t="shared" si="144"/>
        <v>1.75</v>
      </c>
      <c r="N2256" t="s">
        <v>42</v>
      </c>
      <c r="O2256" t="s">
        <v>42</v>
      </c>
      <c r="P2256">
        <v>0</v>
      </c>
      <c r="Q2256">
        <v>0</v>
      </c>
      <c r="R2256" t="s">
        <v>3021</v>
      </c>
    </row>
    <row r="2257" spans="1:18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45626</v>
      </c>
      <c r="G2257">
        <v>2024</v>
      </c>
      <c r="H2257" t="s">
        <v>1550</v>
      </c>
      <c r="I2257" t="s">
        <v>30</v>
      </c>
      <c r="J2257">
        <v>14</v>
      </c>
      <c r="K2257">
        <v>10</v>
      </c>
      <c r="L2257" s="39">
        <f t="shared" si="143"/>
        <v>1.3</v>
      </c>
      <c r="M2257" s="39">
        <f t="shared" si="144"/>
        <v>1.4</v>
      </c>
      <c r="N2257" t="s">
        <v>42</v>
      </c>
      <c r="O2257" t="s">
        <v>42</v>
      </c>
      <c r="P2257">
        <v>0</v>
      </c>
      <c r="Q2257">
        <v>0</v>
      </c>
      <c r="R2257" t="s">
        <v>3022</v>
      </c>
    </row>
    <row r="2258" spans="1:18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45657</v>
      </c>
      <c r="G2258">
        <v>2024</v>
      </c>
      <c r="H2258" t="s">
        <v>23</v>
      </c>
      <c r="I2258" t="s">
        <v>30</v>
      </c>
      <c r="J2258">
        <v>14</v>
      </c>
      <c r="K2258">
        <v>16.97</v>
      </c>
      <c r="L2258" s="39">
        <f t="shared" si="143"/>
        <v>0.82498526812021222</v>
      </c>
      <c r="M2258" s="39">
        <f t="shared" si="144"/>
        <v>0.82498526812021222</v>
      </c>
      <c r="N2258" t="s">
        <v>42</v>
      </c>
      <c r="O2258" t="s">
        <v>42</v>
      </c>
      <c r="P2258">
        <v>0</v>
      </c>
      <c r="Q2258">
        <v>0</v>
      </c>
      <c r="R2258" t="s">
        <v>1243</v>
      </c>
    </row>
    <row r="2259" spans="1:18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45688</v>
      </c>
      <c r="G2259">
        <v>2025</v>
      </c>
      <c r="H2259" t="s">
        <v>59</v>
      </c>
      <c r="I2259" t="s">
        <v>700</v>
      </c>
      <c r="J2259">
        <v>14</v>
      </c>
      <c r="K2259">
        <v>9.1999999999999993</v>
      </c>
      <c r="L2259" s="39">
        <f t="shared" si="143"/>
        <v>1.3</v>
      </c>
      <c r="M2259" s="39">
        <f t="shared" si="144"/>
        <v>1.5217391304347827</v>
      </c>
      <c r="N2259" t="s">
        <v>42</v>
      </c>
      <c r="O2259" t="s">
        <v>42</v>
      </c>
      <c r="P2259">
        <v>0</v>
      </c>
      <c r="Q2259">
        <v>0</v>
      </c>
      <c r="R2259" t="s">
        <v>3023</v>
      </c>
    </row>
    <row r="2260" spans="1:18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45716</v>
      </c>
      <c r="G2260">
        <v>2025</v>
      </c>
      <c r="H2260" t="s">
        <v>210</v>
      </c>
      <c r="I2260" t="s">
        <v>700</v>
      </c>
      <c r="J2260">
        <v>14</v>
      </c>
      <c r="K2260">
        <v>3.34</v>
      </c>
      <c r="L2260" s="39">
        <f t="shared" si="143"/>
        <v>1.3</v>
      </c>
      <c r="M2260" s="39">
        <f t="shared" si="144"/>
        <v>4.1916167664670656</v>
      </c>
      <c r="N2260" t="s">
        <v>42</v>
      </c>
      <c r="O2260" t="s">
        <v>42</v>
      </c>
      <c r="P2260">
        <v>0</v>
      </c>
      <c r="Q2260">
        <v>0</v>
      </c>
      <c r="R2260" t="s">
        <v>3024</v>
      </c>
    </row>
    <row r="2261" spans="1:18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45747</v>
      </c>
      <c r="G2261">
        <v>2025</v>
      </c>
      <c r="H2261" t="s">
        <v>1516</v>
      </c>
      <c r="I2261" t="s">
        <v>700</v>
      </c>
      <c r="J2261">
        <v>14</v>
      </c>
      <c r="K2261">
        <v>10.6</v>
      </c>
      <c r="L2261" s="39">
        <f t="shared" si="143"/>
        <v>1.3</v>
      </c>
      <c r="M2261" s="39">
        <f t="shared" si="144"/>
        <v>1.3207547169811322</v>
      </c>
      <c r="N2261" t="s">
        <v>42</v>
      </c>
      <c r="O2261" t="s">
        <v>42</v>
      </c>
      <c r="P2261">
        <v>0</v>
      </c>
      <c r="Q2261">
        <v>0</v>
      </c>
      <c r="R2261" t="s">
        <v>3025</v>
      </c>
    </row>
    <row r="2262" spans="1:18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45777</v>
      </c>
      <c r="G2262">
        <v>2025</v>
      </c>
      <c r="H2262" t="s">
        <v>1540</v>
      </c>
      <c r="I2262" t="s">
        <v>700</v>
      </c>
      <c r="J2262">
        <v>14</v>
      </c>
      <c r="K2262">
        <v>6.4</v>
      </c>
      <c r="L2262" s="39">
        <f t="shared" si="143"/>
        <v>1.3</v>
      </c>
      <c r="M2262" s="39">
        <f t="shared" si="144"/>
        <v>2.1875</v>
      </c>
      <c r="N2262" t="s">
        <v>42</v>
      </c>
      <c r="O2262" t="s">
        <v>42</v>
      </c>
      <c r="P2262">
        <v>0</v>
      </c>
      <c r="Q2262">
        <v>0</v>
      </c>
      <c r="R2262" t="s">
        <v>3026</v>
      </c>
    </row>
    <row r="2263" spans="1:18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45808</v>
      </c>
      <c r="G2263">
        <v>2025</v>
      </c>
      <c r="H2263" t="s">
        <v>1542</v>
      </c>
      <c r="I2263" t="s">
        <v>700</v>
      </c>
      <c r="J2263">
        <v>14</v>
      </c>
      <c r="K2263">
        <v>10.17</v>
      </c>
      <c r="L2263" s="39">
        <f t="shared" si="143"/>
        <v>1.3</v>
      </c>
      <c r="M2263" s="39">
        <f t="shared" si="144"/>
        <v>1.3765978367748279</v>
      </c>
      <c r="N2263" t="s">
        <v>42</v>
      </c>
      <c r="O2263" t="s">
        <v>42</v>
      </c>
      <c r="P2263">
        <v>0</v>
      </c>
      <c r="Q2263">
        <v>0</v>
      </c>
      <c r="R2263" t="s">
        <v>3027</v>
      </c>
    </row>
    <row r="2264" spans="1:18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45838</v>
      </c>
      <c r="G2264">
        <v>2025</v>
      </c>
      <c r="H2264" t="s">
        <v>699</v>
      </c>
      <c r="I2264" t="s">
        <v>700</v>
      </c>
      <c r="J2264">
        <v>14</v>
      </c>
      <c r="K2264">
        <v>11.93</v>
      </c>
      <c r="L2264" s="39">
        <f t="shared" si="143"/>
        <v>1.173512154233026</v>
      </c>
      <c r="M2264" s="39">
        <f t="shared" si="144"/>
        <v>1.173512154233026</v>
      </c>
      <c r="N2264" t="s">
        <v>42</v>
      </c>
      <c r="O2264" t="s">
        <v>42</v>
      </c>
      <c r="P2264">
        <v>0</v>
      </c>
      <c r="Q2264">
        <v>0</v>
      </c>
      <c r="R2264" t="s">
        <v>3028</v>
      </c>
    </row>
    <row r="2265" spans="1:18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45869</v>
      </c>
      <c r="G2265">
        <v>2025</v>
      </c>
      <c r="H2265" t="s">
        <v>260</v>
      </c>
      <c r="I2265" t="s">
        <v>32</v>
      </c>
      <c r="J2265">
        <v>14</v>
      </c>
      <c r="K2265">
        <v>13.41</v>
      </c>
      <c r="L2265" s="39">
        <f t="shared" si="143"/>
        <v>1.0439970171513795</v>
      </c>
      <c r="M2265" s="39">
        <f t="shared" si="144"/>
        <v>1.0439970171513795</v>
      </c>
      <c r="N2265" t="s">
        <v>42</v>
      </c>
      <c r="O2265" t="s">
        <v>42</v>
      </c>
      <c r="P2265">
        <v>0</v>
      </c>
      <c r="Q2265">
        <v>0</v>
      </c>
      <c r="R2265" t="s">
        <v>3029</v>
      </c>
    </row>
    <row r="2266" spans="1:18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45900</v>
      </c>
      <c r="G2266">
        <v>2025</v>
      </c>
      <c r="H2266" t="s">
        <v>1546</v>
      </c>
      <c r="I2266" t="s">
        <v>32</v>
      </c>
      <c r="J2266">
        <v>14</v>
      </c>
      <c r="K2266">
        <v>14.17</v>
      </c>
      <c r="L2266" s="39">
        <f t="shared" si="143"/>
        <v>0.98800282286520824</v>
      </c>
      <c r="M2266" s="39">
        <f t="shared" si="144"/>
        <v>0.98800282286520824</v>
      </c>
      <c r="N2266" t="s">
        <v>42</v>
      </c>
      <c r="O2266" t="s">
        <v>42</v>
      </c>
      <c r="P2266">
        <v>0</v>
      </c>
      <c r="Q2266">
        <v>0</v>
      </c>
      <c r="R2266" t="s">
        <v>3030</v>
      </c>
    </row>
    <row r="2267" spans="1:18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45930</v>
      </c>
      <c r="G2267">
        <v>2025</v>
      </c>
      <c r="H2267" t="s">
        <v>162</v>
      </c>
      <c r="I2267" t="s">
        <v>32</v>
      </c>
      <c r="J2267">
        <v>14</v>
      </c>
      <c r="K2267">
        <v>7.08</v>
      </c>
      <c r="L2267" s="39">
        <f t="shared" si="143"/>
        <v>1.3</v>
      </c>
      <c r="M2267" s="39">
        <f t="shared" si="144"/>
        <v>1.9774011299435028</v>
      </c>
      <c r="N2267" t="s">
        <v>42</v>
      </c>
      <c r="O2267" t="s">
        <v>42</v>
      </c>
      <c r="P2267">
        <v>0</v>
      </c>
      <c r="Q2267">
        <v>1</v>
      </c>
      <c r="R2267" t="s">
        <v>3031</v>
      </c>
    </row>
    <row r="2268" spans="1:18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45961</v>
      </c>
      <c r="G2268">
        <v>2025</v>
      </c>
      <c r="H2268" t="s">
        <v>150</v>
      </c>
      <c r="I2268" t="s">
        <v>32</v>
      </c>
      <c r="J2268">
        <v>14</v>
      </c>
      <c r="K2268">
        <v>15.49</v>
      </c>
      <c r="L2268" s="39">
        <f t="shared" si="143"/>
        <v>0.90380890897353128</v>
      </c>
      <c r="M2268" s="39">
        <f t="shared" si="144"/>
        <v>0.90380890897353128</v>
      </c>
      <c r="N2268" t="s">
        <v>42</v>
      </c>
      <c r="O2268" t="s">
        <v>42</v>
      </c>
      <c r="P2268">
        <v>0</v>
      </c>
      <c r="Q2268">
        <v>1</v>
      </c>
      <c r="R2268" t="s">
        <v>3032</v>
      </c>
    </row>
    <row r="2269" spans="1:18" hidden="1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45991</v>
      </c>
      <c r="G2269">
        <v>2025</v>
      </c>
      <c r="H2269" t="s">
        <v>1550</v>
      </c>
      <c r="I2269" t="s">
        <v>32</v>
      </c>
      <c r="J2269">
        <v>14</v>
      </c>
      <c r="K2269">
        <v>8.1199999999999992</v>
      </c>
      <c r="L2269" s="39">
        <f t="shared" si="143"/>
        <v>1.3</v>
      </c>
      <c r="M2269" s="39">
        <f t="shared" si="144"/>
        <v>1.7241379310344829</v>
      </c>
      <c r="N2269" t="s">
        <v>42</v>
      </c>
      <c r="O2269" t="s">
        <v>42</v>
      </c>
      <c r="P2269">
        <v>0</v>
      </c>
      <c r="Q2269">
        <v>1</v>
      </c>
      <c r="R2269" t="s">
        <v>3033</v>
      </c>
    </row>
    <row r="2270" spans="1:18" hidden="1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46022</v>
      </c>
      <c r="G2270">
        <v>2025</v>
      </c>
      <c r="H2270" t="s">
        <v>23</v>
      </c>
      <c r="I2270" t="s">
        <v>32</v>
      </c>
      <c r="J2270">
        <v>14</v>
      </c>
      <c r="K2270">
        <v>11.77</v>
      </c>
      <c r="L2270" s="39">
        <f t="shared" si="143"/>
        <v>1.1894647408666101</v>
      </c>
      <c r="M2270" s="39">
        <f t="shared" si="144"/>
        <v>1.1894647408666101</v>
      </c>
      <c r="N2270" t="s">
        <v>42</v>
      </c>
      <c r="O2270" t="s">
        <v>42</v>
      </c>
      <c r="P2270">
        <v>0</v>
      </c>
      <c r="Q2270">
        <v>1</v>
      </c>
      <c r="R2270" t="s">
        <v>1244</v>
      </c>
    </row>
    <row r="2271" spans="1:18" hidden="1" x14ac:dyDescent="0.3">
      <c r="A2271">
        <v>437</v>
      </c>
      <c r="B2271" t="s">
        <v>146</v>
      </c>
      <c r="C2271" t="s">
        <v>732</v>
      </c>
      <c r="D2271" t="s">
        <v>71</v>
      </c>
      <c r="E2271" t="s">
        <v>22</v>
      </c>
      <c r="F2271" s="79">
        <v>45230</v>
      </c>
      <c r="G2271">
        <v>2023</v>
      </c>
      <c r="H2271" t="s">
        <v>150</v>
      </c>
      <c r="I2271" t="s">
        <v>28</v>
      </c>
      <c r="J2271">
        <v>80</v>
      </c>
      <c r="K2271">
        <v>96.239806704922998</v>
      </c>
      <c r="L2271" s="39">
        <f t="shared" si="143"/>
        <v>1.2029975838115374</v>
      </c>
      <c r="M2271" s="39">
        <f t="shared" si="144"/>
        <v>1.2029975838115374</v>
      </c>
      <c r="N2271" t="s">
        <v>25</v>
      </c>
      <c r="O2271" t="s">
        <v>25</v>
      </c>
      <c r="P2271">
        <v>0</v>
      </c>
      <c r="Q2271">
        <v>0</v>
      </c>
      <c r="R2271" t="s">
        <v>3034</v>
      </c>
    </row>
    <row r="2272" spans="1:18" hidden="1" x14ac:dyDescent="0.3">
      <c r="A2272">
        <v>437</v>
      </c>
      <c r="B2272" t="s">
        <v>1246</v>
      </c>
      <c r="C2272" t="s">
        <v>732</v>
      </c>
      <c r="D2272" t="s">
        <v>71</v>
      </c>
      <c r="E2272" t="s">
        <v>22</v>
      </c>
      <c r="F2272" s="79">
        <v>45291</v>
      </c>
      <c r="G2272">
        <v>2023</v>
      </c>
      <c r="H2272" t="s">
        <v>23</v>
      </c>
      <c r="I2272" t="s">
        <v>28</v>
      </c>
      <c r="J2272">
        <v>80</v>
      </c>
      <c r="K2272">
        <v>96</v>
      </c>
      <c r="L2272" s="39">
        <f t="shared" si="143"/>
        <v>1.2</v>
      </c>
      <c r="M2272" s="39">
        <f t="shared" si="144"/>
        <v>1.2</v>
      </c>
      <c r="N2272" t="s">
        <v>25</v>
      </c>
      <c r="O2272" t="s">
        <v>25</v>
      </c>
      <c r="P2272">
        <v>0</v>
      </c>
      <c r="Q2272">
        <v>0</v>
      </c>
      <c r="R2272" t="s">
        <v>1247</v>
      </c>
    </row>
    <row r="2273" spans="1:19" hidden="1" x14ac:dyDescent="0.3">
      <c r="A2273">
        <v>437</v>
      </c>
      <c r="B2273" t="s">
        <v>1246</v>
      </c>
      <c r="C2273" t="s">
        <v>732</v>
      </c>
      <c r="D2273" t="s">
        <v>71</v>
      </c>
      <c r="E2273" t="s">
        <v>22</v>
      </c>
      <c r="F2273" s="79">
        <v>45657</v>
      </c>
      <c r="G2273">
        <v>2024</v>
      </c>
      <c r="H2273" t="s">
        <v>23</v>
      </c>
      <c r="I2273" t="s">
        <v>30</v>
      </c>
      <c r="J2273">
        <v>80</v>
      </c>
      <c r="K2273">
        <v>84</v>
      </c>
      <c r="L2273" s="39">
        <f t="shared" si="143"/>
        <v>1.05</v>
      </c>
      <c r="M2273" s="39">
        <f t="shared" si="144"/>
        <v>1.05</v>
      </c>
      <c r="N2273" t="s">
        <v>25</v>
      </c>
      <c r="O2273" t="s">
        <v>25</v>
      </c>
      <c r="P2273">
        <v>0</v>
      </c>
      <c r="Q2273">
        <v>0</v>
      </c>
      <c r="R2273" t="s">
        <v>1248</v>
      </c>
    </row>
    <row r="2274" spans="1:19" hidden="1" x14ac:dyDescent="0.3">
      <c r="A2274">
        <v>437</v>
      </c>
      <c r="B2274" t="s">
        <v>1246</v>
      </c>
      <c r="C2274" t="s">
        <v>732</v>
      </c>
      <c r="D2274" t="s">
        <v>71</v>
      </c>
      <c r="E2274" t="s">
        <v>22</v>
      </c>
      <c r="F2274" s="79">
        <v>46022</v>
      </c>
      <c r="G2274">
        <v>2025</v>
      </c>
      <c r="H2274" t="s">
        <v>23</v>
      </c>
      <c r="I2274" t="s">
        <v>32</v>
      </c>
      <c r="J2274">
        <v>80</v>
      </c>
      <c r="K2274">
        <v>99</v>
      </c>
      <c r="L2274" s="39">
        <f t="shared" si="143"/>
        <v>1.2375</v>
      </c>
      <c r="M2274" s="39">
        <f t="shared" si="144"/>
        <v>1.2375</v>
      </c>
      <c r="N2274" t="s">
        <v>25</v>
      </c>
      <c r="O2274" t="s">
        <v>25</v>
      </c>
      <c r="P2274">
        <v>0</v>
      </c>
      <c r="Q2274">
        <v>0</v>
      </c>
      <c r="R2274" t="s">
        <v>1249</v>
      </c>
    </row>
    <row r="2275" spans="1:19" hidden="1" x14ac:dyDescent="0.3">
      <c r="A2275">
        <v>438</v>
      </c>
      <c r="B2275" t="s">
        <v>1250</v>
      </c>
      <c r="C2275" t="s">
        <v>956</v>
      </c>
      <c r="D2275" t="s">
        <v>27</v>
      </c>
      <c r="E2275" t="s">
        <v>22</v>
      </c>
      <c r="F2275" s="79">
        <v>45291</v>
      </c>
      <c r="G2275">
        <v>2023</v>
      </c>
      <c r="H2275" t="s">
        <v>23</v>
      </c>
      <c r="I2275" t="s">
        <v>28</v>
      </c>
      <c r="J2275">
        <v>100</v>
      </c>
      <c r="K2275">
        <v>100</v>
      </c>
      <c r="L2275" s="39">
        <f t="shared" si="143"/>
        <v>1</v>
      </c>
      <c r="M2275" s="39">
        <f t="shared" si="144"/>
        <v>1</v>
      </c>
      <c r="N2275" t="s">
        <v>25</v>
      </c>
      <c r="O2275" t="s">
        <v>25</v>
      </c>
      <c r="P2275">
        <v>0</v>
      </c>
      <c r="Q2275">
        <v>0</v>
      </c>
      <c r="R2275" t="s">
        <v>1251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21</v>
      </c>
      <c r="E2276" t="s">
        <v>22</v>
      </c>
      <c r="F2276" s="79">
        <v>45016</v>
      </c>
      <c r="G2276">
        <v>2023</v>
      </c>
      <c r="H2276" t="s">
        <v>1516</v>
      </c>
      <c r="I2276" t="s">
        <v>1512</v>
      </c>
      <c r="N2276" t="s">
        <v>25</v>
      </c>
      <c r="O2276" t="s">
        <v>302</v>
      </c>
      <c r="P2276">
        <v>0</v>
      </c>
      <c r="Q2276">
        <v>0</v>
      </c>
      <c r="R2276" t="s">
        <v>3035</v>
      </c>
      <c r="S2276" t="s">
        <v>302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21</v>
      </c>
      <c r="E2277" t="s">
        <v>22</v>
      </c>
      <c r="F2277" s="79">
        <v>45107</v>
      </c>
      <c r="G2277">
        <v>2023</v>
      </c>
      <c r="H2277" t="s">
        <v>699</v>
      </c>
      <c r="I2277" t="s">
        <v>1512</v>
      </c>
      <c r="L2277" s="39"/>
      <c r="M2277" s="39"/>
      <c r="N2277" t="s">
        <v>25</v>
      </c>
      <c r="O2277" t="s">
        <v>302</v>
      </c>
      <c r="P2277">
        <v>0</v>
      </c>
      <c r="Q2277">
        <v>0</v>
      </c>
      <c r="R2277" t="s">
        <v>3036</v>
      </c>
      <c r="S2277" t="s">
        <v>302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27</v>
      </c>
      <c r="E2278" t="s">
        <v>22</v>
      </c>
      <c r="F2278" s="79">
        <v>45291</v>
      </c>
      <c r="G2278">
        <v>2023</v>
      </c>
      <c r="H2278" t="s">
        <v>23</v>
      </c>
      <c r="I2278" t="s">
        <v>28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1253</v>
      </c>
    </row>
    <row r="2279" spans="1:19" hidden="1" x14ac:dyDescent="0.3">
      <c r="A2279">
        <v>439</v>
      </c>
      <c r="B2279" t="s">
        <v>1252</v>
      </c>
      <c r="C2279" t="s">
        <v>956</v>
      </c>
      <c r="D2279" t="s">
        <v>27</v>
      </c>
      <c r="E2279" t="s">
        <v>22</v>
      </c>
      <c r="F2279" s="79">
        <v>45473</v>
      </c>
      <c r="G2279">
        <v>2024</v>
      </c>
      <c r="H2279" t="s">
        <v>699</v>
      </c>
      <c r="I2279" t="s">
        <v>729</v>
      </c>
      <c r="J2279">
        <v>100</v>
      </c>
      <c r="K2279">
        <v>100</v>
      </c>
      <c r="L2279" s="39">
        <f>IFERROR(IF(OR(J2279=0,K2279=""),"",IF(E2279="Positivo",MIN(MAX(K2279/J2279,0),1.3),MIN(MAX(J2279/K2279,0),1.3))),"")</f>
        <v>1</v>
      </c>
      <c r="M2279" s="39">
        <f>IFERROR(IF(OR(J2279=0,K2279=""),"",IF(E2279="Positivo",MAX(K2279/J2279,0),MAX(J2279/K2279,0))),"")</f>
        <v>1</v>
      </c>
      <c r="N2279" t="s">
        <v>25</v>
      </c>
      <c r="O2279" t="s">
        <v>25</v>
      </c>
      <c r="P2279">
        <v>0</v>
      </c>
      <c r="Q2279">
        <v>0</v>
      </c>
      <c r="R2279" t="s">
        <v>3037</v>
      </c>
    </row>
    <row r="2280" spans="1:19" hidden="1" x14ac:dyDescent="0.3">
      <c r="A2280">
        <v>439</v>
      </c>
      <c r="B2280" t="s">
        <v>1252</v>
      </c>
      <c r="C2280" t="s">
        <v>956</v>
      </c>
      <c r="D2280" t="s">
        <v>27</v>
      </c>
      <c r="E2280" t="s">
        <v>22</v>
      </c>
      <c r="F2280" s="79">
        <v>45657</v>
      </c>
      <c r="G2280">
        <v>2024</v>
      </c>
      <c r="H2280" t="s">
        <v>23</v>
      </c>
      <c r="I2280" t="s">
        <v>30</v>
      </c>
      <c r="J2280">
        <v>100</v>
      </c>
      <c r="K2280">
        <v>100</v>
      </c>
      <c r="L2280" s="39">
        <f>IFERROR(IF(OR(J2280=0,K2280=""),"",IF(E2280="Positivo",MIN(MAX(K2280/J2280,0),1.3),MIN(MAX(J2280/K2280,0),1.3))),"")</f>
        <v>1</v>
      </c>
      <c r="M2280" s="39">
        <f>IFERROR(IF(OR(J2280=0,K2280=""),"",IF(E2280="Positivo",MAX(K2280/J2280,0),MAX(J2280/K2280,0))),"")</f>
        <v>1</v>
      </c>
      <c r="N2280" t="s">
        <v>25</v>
      </c>
      <c r="O2280" t="s">
        <v>25</v>
      </c>
      <c r="P2280">
        <v>0</v>
      </c>
      <c r="Q2280">
        <v>0</v>
      </c>
      <c r="R2280" t="s">
        <v>1254</v>
      </c>
    </row>
    <row r="2281" spans="1:19" hidden="1" x14ac:dyDescent="0.3">
      <c r="A2281">
        <v>439</v>
      </c>
      <c r="B2281" t="s">
        <v>1252</v>
      </c>
      <c r="C2281" t="s">
        <v>956</v>
      </c>
      <c r="D2281" t="s">
        <v>27</v>
      </c>
      <c r="E2281" t="s">
        <v>22</v>
      </c>
      <c r="F2281" s="79">
        <v>45838</v>
      </c>
      <c r="G2281">
        <v>2025</v>
      </c>
      <c r="H2281" t="s">
        <v>699</v>
      </c>
      <c r="I2281" t="s">
        <v>700</v>
      </c>
      <c r="J2281">
        <v>100</v>
      </c>
      <c r="K2281">
        <v>100</v>
      </c>
      <c r="L2281" s="39">
        <f>IFERROR(IF(OR(J2281=0,K2281=""),"",IF(E2281="Positivo",MIN(MAX(K2281/J2281,0),1.3),MIN(MAX(J2281/K2281,0),1.3))),"")</f>
        <v>1</v>
      </c>
      <c r="M2281" s="39">
        <f>IFERROR(IF(OR(J2281=0,K2281=""),"",IF(E2281="Positivo",MAX(K2281/J2281,0),MAX(J2281/K2281,0))),"")</f>
        <v>1</v>
      </c>
      <c r="N2281" t="s">
        <v>25</v>
      </c>
      <c r="O2281" t="s">
        <v>25</v>
      </c>
      <c r="P2281">
        <v>0</v>
      </c>
      <c r="Q2281">
        <v>0</v>
      </c>
      <c r="R2281" t="s">
        <v>3038</v>
      </c>
    </row>
    <row r="2282" spans="1:19" hidden="1" x14ac:dyDescent="0.3">
      <c r="A2282">
        <v>439</v>
      </c>
      <c r="B2282" t="s">
        <v>1252</v>
      </c>
      <c r="C2282" t="s">
        <v>956</v>
      </c>
      <c r="D2282" t="s">
        <v>21</v>
      </c>
      <c r="E2282" t="s">
        <v>22</v>
      </c>
      <c r="F2282" s="79">
        <v>46022</v>
      </c>
      <c r="G2282">
        <v>2025</v>
      </c>
      <c r="H2282" t="s">
        <v>23</v>
      </c>
      <c r="I2282" t="s">
        <v>32</v>
      </c>
      <c r="J2282">
        <v>100</v>
      </c>
      <c r="K2282">
        <v>100</v>
      </c>
      <c r="L2282" s="39">
        <f>IFERROR(IF(OR(J2282=0,K2282=""),"",IF(E2282="Positivo",MIN(MAX(K2282/J2282,0),1.3),MIN(MAX(J2282/K2282,0),1.3))),"")</f>
        <v>1</v>
      </c>
      <c r="M2282" s="39">
        <f>IFERROR(IF(OR(J2282=0,K2282=""),"",IF(E2282="Positivo",MAX(K2282/J2282,0),MAX(J2282/K2282,0))),"")</f>
        <v>1</v>
      </c>
      <c r="N2282" t="s">
        <v>25</v>
      </c>
      <c r="O2282" t="s">
        <v>25</v>
      </c>
      <c r="P2282">
        <v>0</v>
      </c>
      <c r="Q2282">
        <v>0</v>
      </c>
      <c r="R2282" t="s">
        <v>1255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21</v>
      </c>
      <c r="E2283" t="s">
        <v>22</v>
      </c>
      <c r="F2283" s="79">
        <v>45016</v>
      </c>
      <c r="G2283">
        <v>2023</v>
      </c>
      <c r="H2283" t="s">
        <v>1516</v>
      </c>
      <c r="I2283" t="s">
        <v>1512</v>
      </c>
      <c r="L2283" s="39"/>
      <c r="M2283" s="39"/>
      <c r="N2283" t="s">
        <v>25</v>
      </c>
      <c r="O2283" t="s">
        <v>302</v>
      </c>
      <c r="P2283">
        <v>0</v>
      </c>
      <c r="Q2283">
        <v>1</v>
      </c>
      <c r="R2283" t="s">
        <v>3039</v>
      </c>
      <c r="S2283" t="s">
        <v>302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21</v>
      </c>
      <c r="E2284" t="s">
        <v>22</v>
      </c>
      <c r="F2284" s="79">
        <v>45107</v>
      </c>
      <c r="G2284">
        <v>2023</v>
      </c>
      <c r="H2284" t="s">
        <v>699</v>
      </c>
      <c r="I2284" t="s">
        <v>1512</v>
      </c>
      <c r="L2284" s="39"/>
      <c r="M2284" s="39"/>
      <c r="N2284" t="s">
        <v>25</v>
      </c>
      <c r="O2284" t="s">
        <v>302</v>
      </c>
      <c r="P2284">
        <v>0</v>
      </c>
      <c r="Q2284">
        <v>1</v>
      </c>
      <c r="R2284" t="s">
        <v>3040</v>
      </c>
      <c r="S2284" t="s">
        <v>302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27</v>
      </c>
      <c r="E2285" t="s">
        <v>22</v>
      </c>
      <c r="F2285" s="79">
        <v>45291</v>
      </c>
      <c r="G2285">
        <v>2023</v>
      </c>
      <c r="H2285" t="s">
        <v>23</v>
      </c>
      <c r="I2285" t="s">
        <v>28</v>
      </c>
      <c r="J2285">
        <v>98</v>
      </c>
      <c r="K2285">
        <v>97.746062537526996</v>
      </c>
      <c r="L2285" s="39">
        <f t="shared" ref="L2285:L2305" si="145">IFERROR(IF(OR(J2285=0,K2285=""),"",IF(E2285="Positivo",MIN(MAX(K2285/J2285,0),1.3),MIN(MAX(J2285/K2285,0),1.3))),"")</f>
        <v>0.99740880140333665</v>
      </c>
      <c r="M2285" s="39">
        <f t="shared" ref="M2285:M2305" si="146">IFERROR(IF(OR(J2285=0,K2285=""),"",IF(E2285="Positivo",MAX(K2285/J2285,0),MAX(J2285/K2285,0))),"")</f>
        <v>0.99740880140333665</v>
      </c>
      <c r="N2285" t="s">
        <v>25</v>
      </c>
      <c r="O2285" t="s">
        <v>25</v>
      </c>
      <c r="P2285">
        <v>0</v>
      </c>
      <c r="Q2285">
        <v>1</v>
      </c>
      <c r="R2285" t="s">
        <v>1257</v>
      </c>
    </row>
    <row r="2286" spans="1:19" hidden="1" x14ac:dyDescent="0.3">
      <c r="A2286">
        <v>440</v>
      </c>
      <c r="B2286" t="s">
        <v>1256</v>
      </c>
      <c r="C2286" t="s">
        <v>956</v>
      </c>
      <c r="D2286" t="s">
        <v>27</v>
      </c>
      <c r="E2286" t="s">
        <v>22</v>
      </c>
      <c r="F2286" s="79">
        <v>45473</v>
      </c>
      <c r="G2286">
        <v>2024</v>
      </c>
      <c r="H2286" t="s">
        <v>699</v>
      </c>
      <c r="I2286" t="s">
        <v>729</v>
      </c>
      <c r="J2286">
        <v>98</v>
      </c>
      <c r="K2286">
        <v>99.73</v>
      </c>
      <c r="L2286" s="39">
        <f t="shared" si="145"/>
        <v>1.0176530612244898</v>
      </c>
      <c r="M2286" s="39">
        <f t="shared" si="146"/>
        <v>1.0176530612244898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440</v>
      </c>
      <c r="B2287" t="s">
        <v>1256</v>
      </c>
      <c r="C2287" t="s">
        <v>956</v>
      </c>
      <c r="D2287" t="s">
        <v>27</v>
      </c>
      <c r="E2287" t="s">
        <v>22</v>
      </c>
      <c r="F2287" s="79">
        <v>45657</v>
      </c>
      <c r="G2287">
        <v>2024</v>
      </c>
      <c r="H2287" t="s">
        <v>23</v>
      </c>
      <c r="I2287" t="s">
        <v>30</v>
      </c>
      <c r="J2287">
        <v>98</v>
      </c>
      <c r="K2287">
        <v>99.24</v>
      </c>
      <c r="L2287" s="39">
        <f t="shared" si="145"/>
        <v>1.0126530612244897</v>
      </c>
      <c r="M2287" s="39">
        <f t="shared" si="146"/>
        <v>1.0126530612244897</v>
      </c>
      <c r="N2287" t="s">
        <v>25</v>
      </c>
      <c r="O2287" t="s">
        <v>25</v>
      </c>
      <c r="P2287">
        <v>0</v>
      </c>
      <c r="Q2287">
        <v>1</v>
      </c>
      <c r="R2287" t="s">
        <v>1258</v>
      </c>
    </row>
    <row r="2288" spans="1:19" hidden="1" x14ac:dyDescent="0.3">
      <c r="A2288">
        <v>440</v>
      </c>
      <c r="B2288" t="s">
        <v>1256</v>
      </c>
      <c r="C2288" t="s">
        <v>956</v>
      </c>
      <c r="D2288" t="s">
        <v>27</v>
      </c>
      <c r="E2288" t="s">
        <v>22</v>
      </c>
      <c r="F2288" s="79">
        <v>45838</v>
      </c>
      <c r="G2288">
        <v>2025</v>
      </c>
      <c r="H2288" t="s">
        <v>699</v>
      </c>
      <c r="I2288" t="s">
        <v>700</v>
      </c>
      <c r="J2288">
        <v>98</v>
      </c>
      <c r="K2288">
        <v>99.77</v>
      </c>
      <c r="L2288" s="39">
        <f t="shared" si="145"/>
        <v>1.018061224489796</v>
      </c>
      <c r="M2288" s="39">
        <f t="shared" si="146"/>
        <v>1.018061224489796</v>
      </c>
      <c r="N2288" t="s">
        <v>25</v>
      </c>
      <c r="O2288" t="s">
        <v>25</v>
      </c>
      <c r="P2288">
        <v>0</v>
      </c>
      <c r="Q2288">
        <v>1</v>
      </c>
      <c r="R2288" t="s">
        <v>3042</v>
      </c>
    </row>
    <row r="2289" spans="1:18" hidden="1" x14ac:dyDescent="0.3">
      <c r="A2289">
        <v>440</v>
      </c>
      <c r="B2289" t="s">
        <v>1256</v>
      </c>
      <c r="C2289" t="s">
        <v>956</v>
      </c>
      <c r="D2289" t="s">
        <v>21</v>
      </c>
      <c r="E2289" t="s">
        <v>22</v>
      </c>
      <c r="F2289" s="79">
        <v>46022</v>
      </c>
      <c r="G2289">
        <v>2025</v>
      </c>
      <c r="H2289" t="s">
        <v>23</v>
      </c>
      <c r="I2289" t="s">
        <v>32</v>
      </c>
      <c r="J2289">
        <v>98</v>
      </c>
      <c r="K2289">
        <v>99.74</v>
      </c>
      <c r="L2289" s="39">
        <f t="shared" si="145"/>
        <v>1.0177551020408162</v>
      </c>
      <c r="M2289" s="39">
        <f t="shared" si="146"/>
        <v>1.0177551020408162</v>
      </c>
      <c r="N2289" t="s">
        <v>25</v>
      </c>
      <c r="O2289" t="s">
        <v>25</v>
      </c>
      <c r="P2289">
        <v>0</v>
      </c>
      <c r="Q2289">
        <v>1</v>
      </c>
      <c r="R2289" t="s">
        <v>1259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45322</v>
      </c>
      <c r="G2290">
        <v>2024</v>
      </c>
      <c r="H2290" t="s">
        <v>59</v>
      </c>
      <c r="I2290" t="s">
        <v>729</v>
      </c>
      <c r="J2290">
        <v>90</v>
      </c>
      <c r="K2290">
        <v>87.82</v>
      </c>
      <c r="L2290" s="39">
        <f t="shared" si="145"/>
        <v>0.97577777777777774</v>
      </c>
      <c r="M2290" s="39">
        <f t="shared" si="146"/>
        <v>0.97577777777777774</v>
      </c>
      <c r="N2290" t="s">
        <v>25</v>
      </c>
      <c r="O2290" t="s">
        <v>25</v>
      </c>
      <c r="P2290">
        <v>0</v>
      </c>
      <c r="Q2290">
        <v>1</v>
      </c>
      <c r="R2290" t="s">
        <v>3043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45351</v>
      </c>
      <c r="G2291">
        <v>2024</v>
      </c>
      <c r="H2291" t="s">
        <v>210</v>
      </c>
      <c r="I2291" t="s">
        <v>729</v>
      </c>
      <c r="J2291">
        <v>90</v>
      </c>
      <c r="K2291">
        <v>90.88</v>
      </c>
      <c r="L2291" s="39">
        <f t="shared" si="145"/>
        <v>1.0097777777777777</v>
      </c>
      <c r="M2291" s="39">
        <f t="shared" si="146"/>
        <v>1.0097777777777777</v>
      </c>
      <c r="N2291" t="s">
        <v>25</v>
      </c>
      <c r="O2291" t="s">
        <v>25</v>
      </c>
      <c r="P2291">
        <v>0</v>
      </c>
      <c r="Q2291">
        <v>1</v>
      </c>
      <c r="R2291" t="s">
        <v>3044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45382</v>
      </c>
      <c r="G2292">
        <v>2024</v>
      </c>
      <c r="H2292" t="s">
        <v>1516</v>
      </c>
      <c r="I2292" t="s">
        <v>729</v>
      </c>
      <c r="J2292">
        <v>90</v>
      </c>
      <c r="K2292">
        <v>91.52</v>
      </c>
      <c r="L2292" s="39">
        <f t="shared" si="145"/>
        <v>1.016888888888889</v>
      </c>
      <c r="M2292" s="39">
        <f t="shared" si="146"/>
        <v>1.016888888888889</v>
      </c>
      <c r="N2292" t="s">
        <v>25</v>
      </c>
      <c r="O2292" t="s">
        <v>25</v>
      </c>
      <c r="P2292">
        <v>0</v>
      </c>
      <c r="Q2292">
        <v>1</v>
      </c>
      <c r="R2292" t="s">
        <v>3045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45412</v>
      </c>
      <c r="G2293">
        <v>2024</v>
      </c>
      <c r="H2293" t="s">
        <v>1540</v>
      </c>
      <c r="I2293" t="s">
        <v>729</v>
      </c>
      <c r="J2293">
        <v>90</v>
      </c>
      <c r="K2293">
        <v>95.82</v>
      </c>
      <c r="L2293" s="39">
        <f t="shared" si="145"/>
        <v>1.0646666666666667</v>
      </c>
      <c r="M2293" s="39">
        <f t="shared" si="146"/>
        <v>1.0646666666666667</v>
      </c>
      <c r="N2293" t="s">
        <v>25</v>
      </c>
      <c r="O2293" t="s">
        <v>25</v>
      </c>
      <c r="P2293">
        <v>0</v>
      </c>
      <c r="Q2293">
        <v>1</v>
      </c>
      <c r="R2293" t="s">
        <v>3046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45443</v>
      </c>
      <c r="G2294">
        <v>2024</v>
      </c>
      <c r="H2294" t="s">
        <v>1542</v>
      </c>
      <c r="I2294" t="s">
        <v>729</v>
      </c>
      <c r="J2294">
        <v>90</v>
      </c>
      <c r="K2294">
        <v>96.89</v>
      </c>
      <c r="L2294" s="39">
        <f t="shared" si="145"/>
        <v>1.0765555555555555</v>
      </c>
      <c r="M2294" s="39">
        <f t="shared" si="146"/>
        <v>1.0765555555555555</v>
      </c>
      <c r="N2294" t="s">
        <v>25</v>
      </c>
      <c r="O2294" t="s">
        <v>25</v>
      </c>
      <c r="P2294">
        <v>0</v>
      </c>
      <c r="Q2294">
        <v>1</v>
      </c>
      <c r="R2294" t="s">
        <v>3047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45473</v>
      </c>
      <c r="G2295">
        <v>2024</v>
      </c>
      <c r="H2295" t="s">
        <v>699</v>
      </c>
      <c r="I2295" t="s">
        <v>729</v>
      </c>
      <c r="J2295">
        <v>90</v>
      </c>
      <c r="K2295">
        <v>101.44927536231801</v>
      </c>
      <c r="L2295" s="39">
        <f t="shared" si="145"/>
        <v>1.1272141706924224</v>
      </c>
      <c r="M2295" s="39">
        <f t="shared" si="146"/>
        <v>1.1272141706924224</v>
      </c>
      <c r="N2295" t="s">
        <v>25</v>
      </c>
      <c r="O2295" t="s">
        <v>25</v>
      </c>
      <c r="P2295">
        <v>0</v>
      </c>
      <c r="Q2295">
        <v>0</v>
      </c>
      <c r="R2295" t="s">
        <v>3048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45504</v>
      </c>
      <c r="G2296">
        <v>2024</v>
      </c>
      <c r="H2296" t="s">
        <v>260</v>
      </c>
      <c r="I2296" t="s">
        <v>30</v>
      </c>
      <c r="J2296">
        <v>90</v>
      </c>
      <c r="K2296">
        <v>91.2</v>
      </c>
      <c r="L2296" s="39">
        <f t="shared" si="145"/>
        <v>1.0133333333333334</v>
      </c>
      <c r="M2296" s="39">
        <f t="shared" si="146"/>
        <v>1.0133333333333334</v>
      </c>
      <c r="N2296" t="s">
        <v>25</v>
      </c>
      <c r="O2296" t="s">
        <v>25</v>
      </c>
      <c r="P2296">
        <v>0</v>
      </c>
      <c r="Q2296">
        <v>0</v>
      </c>
      <c r="R2296" t="s">
        <v>3049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45535</v>
      </c>
      <c r="G2297">
        <v>2024</v>
      </c>
      <c r="H2297" t="s">
        <v>1546</v>
      </c>
      <c r="I2297" t="s">
        <v>30</v>
      </c>
      <c r="J2297">
        <v>90</v>
      </c>
      <c r="K2297">
        <v>98.160535117056796</v>
      </c>
      <c r="L2297" s="39">
        <f t="shared" si="145"/>
        <v>1.0906726124117421</v>
      </c>
      <c r="M2297" s="39">
        <f t="shared" si="146"/>
        <v>1.0906726124117421</v>
      </c>
      <c r="N2297" t="s">
        <v>25</v>
      </c>
      <c r="O2297" t="s">
        <v>25</v>
      </c>
      <c r="P2297">
        <v>0</v>
      </c>
      <c r="Q2297">
        <v>0</v>
      </c>
      <c r="R2297" t="s">
        <v>3050</v>
      </c>
    </row>
    <row r="2298" spans="1:18" hidden="1" x14ac:dyDescent="0.3">
      <c r="A2298">
        <v>441</v>
      </c>
      <c r="B2298" t="s">
        <v>1260</v>
      </c>
      <c r="C2298" t="s">
        <v>511</v>
      </c>
      <c r="D2298" t="s">
        <v>54</v>
      </c>
      <c r="E2298" t="s">
        <v>22</v>
      </c>
      <c r="F2298" s="79">
        <v>45565</v>
      </c>
      <c r="G2298">
        <v>2024</v>
      </c>
      <c r="H2298" t="s">
        <v>162</v>
      </c>
      <c r="I2298" t="s">
        <v>30</v>
      </c>
      <c r="J2298">
        <v>90</v>
      </c>
      <c r="K2298">
        <v>97.789566755083996</v>
      </c>
      <c r="L2298" s="39">
        <f t="shared" si="145"/>
        <v>1.0865507417231555</v>
      </c>
      <c r="M2298" s="39">
        <f t="shared" si="146"/>
        <v>1.0865507417231555</v>
      </c>
      <c r="N2298" t="s">
        <v>25</v>
      </c>
      <c r="O2298" t="s">
        <v>25</v>
      </c>
      <c r="P2298">
        <v>0</v>
      </c>
      <c r="Q2298">
        <v>0</v>
      </c>
      <c r="R2298" t="s">
        <v>3051</v>
      </c>
    </row>
    <row r="2299" spans="1:18" hidden="1" x14ac:dyDescent="0.3">
      <c r="A2299">
        <v>441</v>
      </c>
      <c r="B2299" t="s">
        <v>1260</v>
      </c>
      <c r="C2299" t="s">
        <v>511</v>
      </c>
      <c r="D2299" t="s">
        <v>54</v>
      </c>
      <c r="E2299" t="s">
        <v>22</v>
      </c>
      <c r="F2299" s="79">
        <v>45596</v>
      </c>
      <c r="G2299">
        <v>2024</v>
      </c>
      <c r="H2299" t="s">
        <v>150</v>
      </c>
      <c r="I2299" t="s">
        <v>30</v>
      </c>
      <c r="J2299">
        <v>90</v>
      </c>
      <c r="K2299">
        <v>96.619083395942894</v>
      </c>
      <c r="L2299" s="39">
        <f t="shared" si="145"/>
        <v>1.0735453710660321</v>
      </c>
      <c r="M2299" s="39">
        <f t="shared" si="146"/>
        <v>1.0735453710660321</v>
      </c>
      <c r="N2299" t="s">
        <v>25</v>
      </c>
      <c r="O2299" t="s">
        <v>25</v>
      </c>
      <c r="P2299">
        <v>0</v>
      </c>
      <c r="Q2299">
        <v>0</v>
      </c>
      <c r="R2299" t="s">
        <v>3052</v>
      </c>
    </row>
    <row r="2300" spans="1:18" hidden="1" x14ac:dyDescent="0.3">
      <c r="A2300">
        <v>441</v>
      </c>
      <c r="B2300" t="s">
        <v>1260</v>
      </c>
      <c r="C2300" t="s">
        <v>511</v>
      </c>
      <c r="D2300" t="s">
        <v>54</v>
      </c>
      <c r="E2300" t="s">
        <v>22</v>
      </c>
      <c r="F2300" s="79">
        <v>45626</v>
      </c>
      <c r="G2300">
        <v>2024</v>
      </c>
      <c r="H2300" t="s">
        <v>1550</v>
      </c>
      <c r="I2300" t="s">
        <v>30</v>
      </c>
      <c r="J2300">
        <v>90</v>
      </c>
      <c r="K2300">
        <v>97.5359342915811</v>
      </c>
      <c r="L2300" s="39">
        <f t="shared" si="145"/>
        <v>1.08373260323979</v>
      </c>
      <c r="M2300" s="39">
        <f t="shared" si="146"/>
        <v>1.08373260323979</v>
      </c>
      <c r="N2300" t="s">
        <v>25</v>
      </c>
      <c r="O2300" t="s">
        <v>25</v>
      </c>
      <c r="P2300">
        <v>0</v>
      </c>
      <c r="Q2300">
        <v>0</v>
      </c>
      <c r="R2300" t="s">
        <v>3053</v>
      </c>
    </row>
    <row r="2301" spans="1:18" hidden="1" x14ac:dyDescent="0.3">
      <c r="A2301">
        <v>441</v>
      </c>
      <c r="B2301" t="s">
        <v>1260</v>
      </c>
      <c r="C2301" t="s">
        <v>511</v>
      </c>
      <c r="D2301" t="s">
        <v>54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90</v>
      </c>
      <c r="K2301">
        <v>99.919935948759004</v>
      </c>
      <c r="L2301" s="39">
        <f t="shared" si="145"/>
        <v>1.1102215105417668</v>
      </c>
      <c r="M2301" s="39">
        <f t="shared" si="146"/>
        <v>1.1102215105417668</v>
      </c>
      <c r="N2301" t="s">
        <v>25</v>
      </c>
      <c r="O2301" t="s">
        <v>25</v>
      </c>
      <c r="P2301">
        <v>0</v>
      </c>
      <c r="Q2301">
        <v>0</v>
      </c>
      <c r="R2301" t="s">
        <v>1261</v>
      </c>
    </row>
    <row r="2302" spans="1:18" hidden="1" x14ac:dyDescent="0.3">
      <c r="A2302">
        <v>442</v>
      </c>
      <c r="B2302" t="s">
        <v>1262</v>
      </c>
      <c r="C2302" t="s">
        <v>246</v>
      </c>
      <c r="D2302" t="s">
        <v>27</v>
      </c>
      <c r="E2302" t="s">
        <v>22</v>
      </c>
      <c r="F2302" s="79">
        <v>45473</v>
      </c>
      <c r="G2302">
        <v>2024</v>
      </c>
      <c r="H2302" t="s">
        <v>699</v>
      </c>
      <c r="I2302" t="s">
        <v>729</v>
      </c>
      <c r="J2302">
        <v>100</v>
      </c>
      <c r="K2302">
        <v>80</v>
      </c>
      <c r="L2302" s="39">
        <f t="shared" si="145"/>
        <v>0.8</v>
      </c>
      <c r="M2302" s="39">
        <f t="shared" si="146"/>
        <v>0.8</v>
      </c>
      <c r="P2302">
        <v>0</v>
      </c>
      <c r="Q2302">
        <v>0</v>
      </c>
      <c r="R2302" t="s">
        <v>3054</v>
      </c>
    </row>
    <row r="2303" spans="1:18" hidden="1" x14ac:dyDescent="0.3">
      <c r="A2303">
        <v>442</v>
      </c>
      <c r="B2303" t="s">
        <v>1262</v>
      </c>
      <c r="C2303" t="s">
        <v>246</v>
      </c>
      <c r="D2303" t="s">
        <v>27</v>
      </c>
      <c r="E2303" t="s">
        <v>22</v>
      </c>
      <c r="F2303" s="79">
        <v>45657</v>
      </c>
      <c r="G2303">
        <v>2024</v>
      </c>
      <c r="H2303" t="s">
        <v>23</v>
      </c>
      <c r="I2303" t="s">
        <v>30</v>
      </c>
      <c r="J2303">
        <v>100</v>
      </c>
      <c r="K2303">
        <v>145</v>
      </c>
      <c r="L2303" s="39">
        <f t="shared" si="145"/>
        <v>1.3</v>
      </c>
      <c r="M2303" s="39">
        <f t="shared" si="146"/>
        <v>1.45</v>
      </c>
      <c r="P2303">
        <v>0</v>
      </c>
      <c r="Q2303">
        <v>0</v>
      </c>
      <c r="R2303" t="s">
        <v>1263</v>
      </c>
    </row>
    <row r="2304" spans="1:18" hidden="1" x14ac:dyDescent="0.3">
      <c r="A2304">
        <v>443</v>
      </c>
      <c r="B2304" t="s">
        <v>1264</v>
      </c>
      <c r="C2304" t="s">
        <v>246</v>
      </c>
      <c r="D2304" t="s">
        <v>27</v>
      </c>
      <c r="E2304" t="s">
        <v>22</v>
      </c>
      <c r="F2304" s="79">
        <v>45473</v>
      </c>
      <c r="G2304">
        <v>2024</v>
      </c>
      <c r="H2304" t="s">
        <v>699</v>
      </c>
      <c r="I2304" t="s">
        <v>729</v>
      </c>
      <c r="J2304">
        <v>100</v>
      </c>
      <c r="K2304">
        <v>114.33</v>
      </c>
      <c r="L2304" s="39">
        <f t="shared" si="145"/>
        <v>1.1433</v>
      </c>
      <c r="M2304" s="39">
        <f t="shared" si="146"/>
        <v>1.1433</v>
      </c>
      <c r="P2304">
        <v>0</v>
      </c>
      <c r="Q2304">
        <v>0</v>
      </c>
      <c r="R2304" t="s">
        <v>3055</v>
      </c>
    </row>
    <row r="2305" spans="1:18" hidden="1" x14ac:dyDescent="0.3">
      <c r="A2305">
        <v>443</v>
      </c>
      <c r="B2305" t="s">
        <v>1264</v>
      </c>
      <c r="C2305" t="s">
        <v>246</v>
      </c>
      <c r="D2305" t="s">
        <v>27</v>
      </c>
      <c r="E2305" t="s">
        <v>22</v>
      </c>
      <c r="F2305" s="79">
        <v>45657</v>
      </c>
      <c r="G2305">
        <v>2024</v>
      </c>
      <c r="H2305" t="s">
        <v>23</v>
      </c>
      <c r="I2305" t="s">
        <v>30</v>
      </c>
      <c r="J2305">
        <v>100</v>
      </c>
      <c r="K2305">
        <v>209</v>
      </c>
      <c r="L2305" s="39">
        <f t="shared" si="145"/>
        <v>1.3</v>
      </c>
      <c r="M2305" s="39">
        <f t="shared" si="146"/>
        <v>2.09</v>
      </c>
      <c r="P2305">
        <v>0</v>
      </c>
      <c r="Q2305">
        <v>0</v>
      </c>
      <c r="R2305" t="s">
        <v>1265</v>
      </c>
    </row>
    <row r="2306" spans="1:18" hidden="1" x14ac:dyDescent="0.3">
      <c r="A2306">
        <v>444</v>
      </c>
      <c r="B2306" t="s">
        <v>1266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K2306">
        <v>2.1</v>
      </c>
      <c r="L2306" s="39"/>
      <c r="M2306" s="39"/>
      <c r="N2306" t="s">
        <v>355</v>
      </c>
      <c r="P2306">
        <v>0</v>
      </c>
      <c r="Q2306">
        <v>1</v>
      </c>
      <c r="R2306" t="s">
        <v>1267</v>
      </c>
    </row>
    <row r="2307" spans="1:18" hidden="1" x14ac:dyDescent="0.3">
      <c r="A2307">
        <v>444</v>
      </c>
      <c r="B2307" t="s">
        <v>1266</v>
      </c>
      <c r="C2307" t="s">
        <v>541</v>
      </c>
      <c r="D2307" t="s">
        <v>27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3</v>
      </c>
      <c r="K2307">
        <v>1.6</v>
      </c>
      <c r="L2307" s="39">
        <f t="shared" ref="L2307:L2338" si="147">IFERROR(IF(OR(J2307=0,K2307=""),"",IF(E2307="Positivo",MIN(MAX(K2307/J2307,0),1.3),MIN(MAX(J2307/K2307,0),1.3))),"")</f>
        <v>0.53333333333333333</v>
      </c>
      <c r="M2307" s="39">
        <f t="shared" ref="M2307:M2338" si="148">IFERROR(IF(OR(J2307=0,K2307=""),"",IF(E2307="Positivo",MAX(K2307/J2307,0),MAX(J2307/K2307,0))),"")</f>
        <v>0.53333333333333333</v>
      </c>
      <c r="N2307" t="s">
        <v>136</v>
      </c>
      <c r="O2307" t="s">
        <v>136</v>
      </c>
      <c r="P2307">
        <v>0</v>
      </c>
      <c r="Q2307">
        <v>1</v>
      </c>
      <c r="R2307" t="s">
        <v>3056</v>
      </c>
    </row>
    <row r="2308" spans="1:18" hidden="1" x14ac:dyDescent="0.3">
      <c r="A2308">
        <v>444</v>
      </c>
      <c r="B2308" t="s">
        <v>1266</v>
      </c>
      <c r="C2308" t="s">
        <v>541</v>
      </c>
      <c r="D2308" t="s">
        <v>21</v>
      </c>
      <c r="E2308" t="s">
        <v>41</v>
      </c>
      <c r="F2308" s="79">
        <v>46022</v>
      </c>
      <c r="G2308">
        <v>2025</v>
      </c>
      <c r="H2308" t="s">
        <v>23</v>
      </c>
      <c r="I2308" t="s">
        <v>32</v>
      </c>
      <c r="J2308">
        <v>3</v>
      </c>
      <c r="K2308">
        <v>1.7</v>
      </c>
      <c r="L2308" s="39">
        <f t="shared" si="147"/>
        <v>1.3</v>
      </c>
      <c r="M2308" s="39">
        <f t="shared" si="148"/>
        <v>1.7647058823529411</v>
      </c>
      <c r="N2308" t="s">
        <v>128</v>
      </c>
      <c r="O2308" t="s">
        <v>136</v>
      </c>
      <c r="P2308">
        <v>0</v>
      </c>
      <c r="Q2308">
        <v>1</v>
      </c>
      <c r="R2308" t="s">
        <v>1268</v>
      </c>
    </row>
    <row r="2309" spans="1:18" hidden="1" x14ac:dyDescent="0.3">
      <c r="A2309">
        <v>445</v>
      </c>
      <c r="B2309" t="s">
        <v>1269</v>
      </c>
      <c r="C2309" t="s">
        <v>541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67.5</v>
      </c>
      <c r="K2309">
        <v>55.2</v>
      </c>
      <c r="L2309" s="39">
        <f t="shared" si="147"/>
        <v>0.81777777777777783</v>
      </c>
      <c r="M2309" s="39">
        <f t="shared" si="148"/>
        <v>0.81777777777777783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445</v>
      </c>
      <c r="B2310" t="s">
        <v>1269</v>
      </c>
      <c r="C2310" t="s">
        <v>541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67.5</v>
      </c>
      <c r="K2310">
        <v>86.5</v>
      </c>
      <c r="L2310" s="39">
        <f t="shared" si="147"/>
        <v>1.2814814814814814</v>
      </c>
      <c r="M2310" s="39">
        <f t="shared" si="148"/>
        <v>1.2814814814814814</v>
      </c>
      <c r="N2310" t="s">
        <v>25</v>
      </c>
      <c r="O2310" t="s">
        <v>25</v>
      </c>
      <c r="P2310">
        <v>0</v>
      </c>
      <c r="Q2310">
        <v>0</v>
      </c>
      <c r="R2310" t="s">
        <v>1270</v>
      </c>
    </row>
    <row r="2311" spans="1:18" hidden="1" x14ac:dyDescent="0.3">
      <c r="A2311">
        <v>445</v>
      </c>
      <c r="B2311" t="s">
        <v>1269</v>
      </c>
      <c r="C2311" t="s">
        <v>541</v>
      </c>
      <c r="D2311" t="s">
        <v>21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70</v>
      </c>
      <c r="K2311">
        <v>75.7</v>
      </c>
      <c r="L2311" s="39">
        <f t="shared" si="147"/>
        <v>1.0814285714285714</v>
      </c>
      <c r="M2311" s="39">
        <f t="shared" si="148"/>
        <v>1.0814285714285714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445</v>
      </c>
      <c r="B2312" t="s">
        <v>1269</v>
      </c>
      <c r="C2312" t="s">
        <v>541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70</v>
      </c>
      <c r="K2312">
        <v>85.3</v>
      </c>
      <c r="L2312" s="39">
        <f t="shared" si="147"/>
        <v>1.2185714285714286</v>
      </c>
      <c r="M2312" s="39">
        <f t="shared" si="148"/>
        <v>1.2185714285714286</v>
      </c>
      <c r="N2312" t="s">
        <v>25</v>
      </c>
      <c r="O2312" t="s">
        <v>25</v>
      </c>
      <c r="P2312">
        <v>0</v>
      </c>
      <c r="Q2312">
        <v>0</v>
      </c>
      <c r="R2312" t="s">
        <v>1271</v>
      </c>
    </row>
    <row r="2313" spans="1:18" hidden="1" x14ac:dyDescent="0.3">
      <c r="A2313">
        <v>447</v>
      </c>
      <c r="B2313" t="s">
        <v>724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15</v>
      </c>
      <c r="K2313">
        <v>31.04</v>
      </c>
      <c r="L2313" s="39">
        <f t="shared" si="147"/>
        <v>1.3</v>
      </c>
      <c r="M2313" s="39">
        <f t="shared" si="148"/>
        <v>2.0693333333333332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447</v>
      </c>
      <c r="B2314" t="s">
        <v>724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15</v>
      </c>
      <c r="K2314">
        <v>16.16</v>
      </c>
      <c r="L2314" s="39">
        <f t="shared" si="147"/>
        <v>1.0773333333333333</v>
      </c>
      <c r="M2314" s="39">
        <f t="shared" si="148"/>
        <v>1.0773333333333333</v>
      </c>
      <c r="N2314" t="s">
        <v>25</v>
      </c>
      <c r="O2314" t="s">
        <v>25</v>
      </c>
      <c r="P2314">
        <v>0</v>
      </c>
      <c r="Q2314">
        <v>0</v>
      </c>
      <c r="R2314" t="s">
        <v>1272</v>
      </c>
    </row>
    <row r="2315" spans="1:18" hidden="1" x14ac:dyDescent="0.3">
      <c r="A2315">
        <v>447</v>
      </c>
      <c r="B2315" t="s">
        <v>724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15</v>
      </c>
      <c r="K2315">
        <v>16.54</v>
      </c>
      <c r="L2315" s="39">
        <f t="shared" si="147"/>
        <v>1.1026666666666667</v>
      </c>
      <c r="M2315" s="39">
        <f t="shared" si="148"/>
        <v>1.1026666666666667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447</v>
      </c>
      <c r="B2316" t="s">
        <v>724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15</v>
      </c>
      <c r="K2316">
        <v>15.01</v>
      </c>
      <c r="L2316" s="39">
        <f t="shared" si="147"/>
        <v>1.0006666666666666</v>
      </c>
      <c r="M2316" s="39">
        <f t="shared" si="148"/>
        <v>1.0006666666666666</v>
      </c>
      <c r="N2316" t="s">
        <v>25</v>
      </c>
      <c r="O2316" t="s">
        <v>25</v>
      </c>
      <c r="P2316">
        <v>0</v>
      </c>
      <c r="Q2316">
        <v>0</v>
      </c>
      <c r="R2316" t="s">
        <v>1273</v>
      </c>
    </row>
    <row r="2317" spans="1:18" hidden="1" x14ac:dyDescent="0.3">
      <c r="A2317">
        <v>448</v>
      </c>
      <c r="B2317" t="s">
        <v>1274</v>
      </c>
      <c r="C2317" t="s">
        <v>254</v>
      </c>
      <c r="D2317" t="s">
        <v>27</v>
      </c>
      <c r="E2317" t="s">
        <v>22</v>
      </c>
      <c r="F2317" s="79">
        <v>45473</v>
      </c>
      <c r="G2317">
        <v>2024</v>
      </c>
      <c r="H2317" t="s">
        <v>699</v>
      </c>
      <c r="I2317" t="s">
        <v>729</v>
      </c>
      <c r="J2317">
        <v>9</v>
      </c>
      <c r="K2317">
        <v>18.93</v>
      </c>
      <c r="L2317" s="39">
        <f t="shared" si="147"/>
        <v>1.3</v>
      </c>
      <c r="M2317" s="39">
        <f t="shared" si="148"/>
        <v>2.1033333333333335</v>
      </c>
      <c r="N2317" t="s">
        <v>25</v>
      </c>
      <c r="O2317" t="s">
        <v>25</v>
      </c>
      <c r="P2317">
        <v>0</v>
      </c>
      <c r="Q2317">
        <v>0</v>
      </c>
      <c r="R2317" t="s">
        <v>3061</v>
      </c>
    </row>
    <row r="2318" spans="1:18" hidden="1" x14ac:dyDescent="0.3">
      <c r="A2318">
        <v>448</v>
      </c>
      <c r="B2318" t="s">
        <v>1274</v>
      </c>
      <c r="C2318" t="s">
        <v>254</v>
      </c>
      <c r="D2318" t="s">
        <v>27</v>
      </c>
      <c r="E2318" t="s">
        <v>22</v>
      </c>
      <c r="F2318" s="79">
        <v>45657</v>
      </c>
      <c r="G2318">
        <v>2024</v>
      </c>
      <c r="H2318" t="s">
        <v>23</v>
      </c>
      <c r="I2318" t="s">
        <v>30</v>
      </c>
      <c r="J2318">
        <v>9</v>
      </c>
      <c r="K2318">
        <v>9.32</v>
      </c>
      <c r="L2318" s="39">
        <f t="shared" si="147"/>
        <v>1.0355555555555556</v>
      </c>
      <c r="M2318" s="39">
        <f t="shared" si="148"/>
        <v>1.0355555555555556</v>
      </c>
      <c r="N2318" t="s">
        <v>25</v>
      </c>
      <c r="O2318" t="s">
        <v>25</v>
      </c>
      <c r="P2318">
        <v>0</v>
      </c>
      <c r="Q2318">
        <v>0</v>
      </c>
      <c r="R2318" t="s">
        <v>1275</v>
      </c>
    </row>
    <row r="2319" spans="1:18" hidden="1" x14ac:dyDescent="0.3">
      <c r="A2319">
        <v>448</v>
      </c>
      <c r="B2319" t="s">
        <v>1274</v>
      </c>
      <c r="C2319" t="s">
        <v>254</v>
      </c>
      <c r="D2319" t="s">
        <v>27</v>
      </c>
      <c r="E2319" t="s">
        <v>22</v>
      </c>
      <c r="F2319" s="79">
        <v>45838</v>
      </c>
      <c r="G2319">
        <v>2025</v>
      </c>
      <c r="H2319" t="s">
        <v>699</v>
      </c>
      <c r="I2319" t="s">
        <v>700</v>
      </c>
      <c r="J2319">
        <v>17</v>
      </c>
      <c r="K2319">
        <v>39.619999999999997</v>
      </c>
      <c r="L2319" s="39">
        <f t="shared" si="147"/>
        <v>1.3</v>
      </c>
      <c r="M2319" s="39">
        <f t="shared" si="148"/>
        <v>2.3305882352941176</v>
      </c>
      <c r="N2319" t="s">
        <v>25</v>
      </c>
      <c r="O2319" t="s">
        <v>25</v>
      </c>
      <c r="P2319">
        <v>0</v>
      </c>
      <c r="Q2319">
        <v>0</v>
      </c>
      <c r="R2319" t="s">
        <v>3062</v>
      </c>
    </row>
    <row r="2320" spans="1:18" hidden="1" x14ac:dyDescent="0.3">
      <c r="A2320">
        <v>448</v>
      </c>
      <c r="B2320" t="s">
        <v>1274</v>
      </c>
      <c r="C2320" t="s">
        <v>254</v>
      </c>
      <c r="D2320" t="s">
        <v>21</v>
      </c>
      <c r="E2320" t="s">
        <v>22</v>
      </c>
      <c r="F2320" s="79">
        <v>46022</v>
      </c>
      <c r="G2320">
        <v>2025</v>
      </c>
      <c r="H2320" t="s">
        <v>23</v>
      </c>
      <c r="I2320" t="s">
        <v>32</v>
      </c>
      <c r="J2320">
        <v>17</v>
      </c>
      <c r="K2320">
        <v>59.36</v>
      </c>
      <c r="L2320" s="39">
        <f t="shared" si="147"/>
        <v>1.3</v>
      </c>
      <c r="M2320" s="39">
        <f t="shared" si="148"/>
        <v>3.4917647058823529</v>
      </c>
      <c r="N2320" t="s">
        <v>25</v>
      </c>
      <c r="O2320" t="s">
        <v>25</v>
      </c>
      <c r="P2320">
        <v>0</v>
      </c>
      <c r="Q2320">
        <v>1</v>
      </c>
      <c r="R2320" t="s">
        <v>1276</v>
      </c>
    </row>
    <row r="2321" spans="1:18" hidden="1" x14ac:dyDescent="0.3">
      <c r="A2321">
        <v>449</v>
      </c>
      <c r="B2321" t="s">
        <v>1277</v>
      </c>
      <c r="C2321" t="s">
        <v>732</v>
      </c>
      <c r="D2321" t="s">
        <v>21</v>
      </c>
      <c r="E2321" t="s">
        <v>22</v>
      </c>
      <c r="F2321" s="79">
        <v>45382</v>
      </c>
      <c r="G2321">
        <v>2024</v>
      </c>
      <c r="H2321" t="s">
        <v>1516</v>
      </c>
      <c r="I2321" t="s">
        <v>729</v>
      </c>
      <c r="J2321">
        <v>20</v>
      </c>
      <c r="K2321">
        <v>51.28</v>
      </c>
      <c r="L2321" s="39">
        <f t="shared" si="147"/>
        <v>1.3</v>
      </c>
      <c r="M2321" s="39">
        <f t="shared" si="148"/>
        <v>2.5640000000000001</v>
      </c>
      <c r="P2321">
        <v>0</v>
      </c>
      <c r="Q2321">
        <v>0</v>
      </c>
      <c r="R2321" t="s">
        <v>3063</v>
      </c>
    </row>
    <row r="2322" spans="1:18" hidden="1" x14ac:dyDescent="0.3">
      <c r="A2322">
        <v>449</v>
      </c>
      <c r="B2322" t="s">
        <v>1277</v>
      </c>
      <c r="C2322" t="s">
        <v>732</v>
      </c>
      <c r="D2322" t="s">
        <v>21</v>
      </c>
      <c r="E2322" t="s">
        <v>22</v>
      </c>
      <c r="F2322" s="79">
        <v>45565</v>
      </c>
      <c r="G2322">
        <v>2024</v>
      </c>
      <c r="H2322" t="s">
        <v>162</v>
      </c>
      <c r="I2322" t="s">
        <v>30</v>
      </c>
      <c r="J2322">
        <v>70</v>
      </c>
      <c r="K2322">
        <v>84.615384615384599</v>
      </c>
      <c r="L2322" s="39">
        <f t="shared" si="147"/>
        <v>1.2087912087912085</v>
      </c>
      <c r="M2322" s="39">
        <f t="shared" si="148"/>
        <v>1.2087912087912085</v>
      </c>
      <c r="P2322">
        <v>0</v>
      </c>
      <c r="Q2322">
        <v>0</v>
      </c>
      <c r="R2322" t="s">
        <v>3064</v>
      </c>
    </row>
    <row r="2323" spans="1:18" hidden="1" x14ac:dyDescent="0.3">
      <c r="A2323">
        <v>449</v>
      </c>
      <c r="B2323" t="s">
        <v>1277</v>
      </c>
      <c r="C2323" t="s">
        <v>732</v>
      </c>
      <c r="D2323" t="s">
        <v>21</v>
      </c>
      <c r="E2323" t="s">
        <v>22</v>
      </c>
      <c r="F2323" s="79">
        <v>45657</v>
      </c>
      <c r="G2323">
        <v>2024</v>
      </c>
      <c r="H2323" t="s">
        <v>23</v>
      </c>
      <c r="I2323" t="s">
        <v>30</v>
      </c>
      <c r="J2323">
        <v>100</v>
      </c>
      <c r="K2323">
        <v>100</v>
      </c>
      <c r="L2323" s="39">
        <f t="shared" si="147"/>
        <v>1</v>
      </c>
      <c r="M2323" s="39">
        <f t="shared" si="148"/>
        <v>1</v>
      </c>
      <c r="P2323">
        <v>0</v>
      </c>
      <c r="Q2323">
        <v>0</v>
      </c>
      <c r="R2323" t="s">
        <v>1278</v>
      </c>
    </row>
    <row r="2324" spans="1:18" hidden="1" x14ac:dyDescent="0.3">
      <c r="A2324">
        <v>451</v>
      </c>
      <c r="B2324" t="s">
        <v>1279</v>
      </c>
      <c r="C2324" t="s">
        <v>1078</v>
      </c>
      <c r="D2324" t="s">
        <v>27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0</v>
      </c>
      <c r="K2324">
        <v>34.9</v>
      </c>
      <c r="L2324" s="39" t="str">
        <f t="shared" si="147"/>
        <v/>
      </c>
      <c r="M2324" s="39" t="str">
        <f t="shared" si="148"/>
        <v/>
      </c>
      <c r="P2324">
        <v>0</v>
      </c>
      <c r="Q2324">
        <v>0</v>
      </c>
      <c r="R2324" t="s">
        <v>3065</v>
      </c>
    </row>
    <row r="2325" spans="1:18" hidden="1" x14ac:dyDescent="0.3">
      <c r="A2325">
        <v>451</v>
      </c>
      <c r="B2325" t="s">
        <v>1279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0</v>
      </c>
      <c r="K2325">
        <v>42.7</v>
      </c>
      <c r="L2325" s="39" t="str">
        <f t="shared" si="147"/>
        <v/>
      </c>
      <c r="M2325" s="39" t="str">
        <f t="shared" si="148"/>
        <v/>
      </c>
      <c r="P2325">
        <v>0</v>
      </c>
      <c r="Q2325">
        <v>0</v>
      </c>
      <c r="R2325" t="s">
        <v>1280</v>
      </c>
    </row>
    <row r="2326" spans="1:18" hidden="1" x14ac:dyDescent="0.3">
      <c r="A2326">
        <v>451</v>
      </c>
      <c r="B2326" t="s">
        <v>1279</v>
      </c>
      <c r="C2326" t="s">
        <v>1078</v>
      </c>
      <c r="D2326" t="s">
        <v>27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119.5</v>
      </c>
      <c r="L2326" s="39">
        <f t="shared" si="147"/>
        <v>1.1950000000000001</v>
      </c>
      <c r="M2326" s="39">
        <f t="shared" si="148"/>
        <v>1.1950000000000001</v>
      </c>
      <c r="P2326">
        <v>0</v>
      </c>
      <c r="Q2326">
        <v>0</v>
      </c>
      <c r="R2326" t="s">
        <v>3066</v>
      </c>
    </row>
    <row r="2327" spans="1:18" hidden="1" x14ac:dyDescent="0.3">
      <c r="A2327">
        <v>451</v>
      </c>
      <c r="B2327" t="s">
        <v>1281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130.80000000000001</v>
      </c>
      <c r="L2327" s="39">
        <f t="shared" si="147"/>
        <v>1.3</v>
      </c>
      <c r="M2327" s="39">
        <f t="shared" si="148"/>
        <v>1.3080000000000001</v>
      </c>
      <c r="N2327" t="s">
        <v>25</v>
      </c>
      <c r="O2327" t="s">
        <v>25</v>
      </c>
      <c r="P2327">
        <v>0</v>
      </c>
      <c r="Q2327">
        <v>0</v>
      </c>
      <c r="R2327" t="s">
        <v>1282</v>
      </c>
    </row>
    <row r="2328" spans="1:18" hidden="1" x14ac:dyDescent="0.3">
      <c r="A2328">
        <v>452</v>
      </c>
      <c r="B2328" t="s">
        <v>1283</v>
      </c>
      <c r="C2328" t="s">
        <v>1078</v>
      </c>
      <c r="D2328" t="s">
        <v>21</v>
      </c>
      <c r="E2328" t="s">
        <v>22</v>
      </c>
      <c r="F2328" s="79">
        <v>45473</v>
      </c>
      <c r="G2328">
        <v>2024</v>
      </c>
      <c r="H2328" t="s">
        <v>699</v>
      </c>
      <c r="I2328" t="s">
        <v>729</v>
      </c>
      <c r="J2328">
        <v>100</v>
      </c>
      <c r="K2328">
        <v>100</v>
      </c>
      <c r="L2328" s="39">
        <f t="shared" si="147"/>
        <v>1</v>
      </c>
      <c r="M2328" s="39">
        <f t="shared" si="148"/>
        <v>1</v>
      </c>
      <c r="N2328" t="s">
        <v>25</v>
      </c>
      <c r="O2328" t="s">
        <v>25</v>
      </c>
      <c r="P2328">
        <v>0</v>
      </c>
      <c r="Q2328">
        <v>0</v>
      </c>
      <c r="R2328" t="s">
        <v>3067</v>
      </c>
    </row>
    <row r="2329" spans="1:18" hidden="1" x14ac:dyDescent="0.3">
      <c r="A2329">
        <v>452</v>
      </c>
      <c r="B2329" t="s">
        <v>1283</v>
      </c>
      <c r="C2329" t="s">
        <v>1078</v>
      </c>
      <c r="D2329" t="s">
        <v>27</v>
      </c>
      <c r="E2329" t="s">
        <v>22</v>
      </c>
      <c r="F2329" s="79">
        <v>45657</v>
      </c>
      <c r="G2329">
        <v>2024</v>
      </c>
      <c r="H2329" t="s">
        <v>23</v>
      </c>
      <c r="I2329" t="s">
        <v>30</v>
      </c>
      <c r="J2329">
        <v>100</v>
      </c>
      <c r="K2329">
        <v>160</v>
      </c>
      <c r="L2329" s="39">
        <f t="shared" si="147"/>
        <v>1.3</v>
      </c>
      <c r="M2329" s="39">
        <f t="shared" si="148"/>
        <v>1.6</v>
      </c>
      <c r="P2329">
        <v>0</v>
      </c>
      <c r="Q2329">
        <v>0</v>
      </c>
      <c r="R2329" t="s">
        <v>1284</v>
      </c>
    </row>
    <row r="2330" spans="1:18" hidden="1" x14ac:dyDescent="0.3">
      <c r="A2330">
        <v>452</v>
      </c>
      <c r="B2330" t="s">
        <v>1283</v>
      </c>
      <c r="C2330" t="s">
        <v>1078</v>
      </c>
      <c r="D2330" t="s">
        <v>21</v>
      </c>
      <c r="E2330" t="s">
        <v>22</v>
      </c>
      <c r="F2330" s="79">
        <v>45838</v>
      </c>
      <c r="G2330">
        <v>2025</v>
      </c>
      <c r="H2330" t="s">
        <v>699</v>
      </c>
      <c r="I2330" t="s">
        <v>700</v>
      </c>
      <c r="J2330">
        <v>100</v>
      </c>
      <c r="K2330">
        <v>102.27</v>
      </c>
      <c r="L2330" s="39">
        <f t="shared" si="147"/>
        <v>1.0226999999999999</v>
      </c>
      <c r="M2330" s="39">
        <f t="shared" si="148"/>
        <v>1.0226999999999999</v>
      </c>
      <c r="N2330" t="s">
        <v>25</v>
      </c>
      <c r="O2330" t="s">
        <v>25</v>
      </c>
      <c r="P2330">
        <v>0</v>
      </c>
      <c r="Q2330">
        <v>0</v>
      </c>
      <c r="R2330" t="s">
        <v>3068</v>
      </c>
    </row>
    <row r="2331" spans="1:18" hidden="1" x14ac:dyDescent="0.3">
      <c r="A2331">
        <v>452</v>
      </c>
      <c r="B2331" t="s">
        <v>1283</v>
      </c>
      <c r="C2331" t="s">
        <v>1078</v>
      </c>
      <c r="D2331" t="s">
        <v>21</v>
      </c>
      <c r="E2331" t="s">
        <v>22</v>
      </c>
      <c r="F2331" s="79">
        <v>46022</v>
      </c>
      <c r="G2331">
        <v>2025</v>
      </c>
      <c r="H2331" t="s">
        <v>23</v>
      </c>
      <c r="I2331" t="s">
        <v>32</v>
      </c>
      <c r="J2331">
        <v>100</v>
      </c>
      <c r="K2331">
        <v>200</v>
      </c>
      <c r="L2331" s="39">
        <f t="shared" si="147"/>
        <v>1.3</v>
      </c>
      <c r="M2331" s="39">
        <f t="shared" si="148"/>
        <v>2</v>
      </c>
      <c r="N2331" t="s">
        <v>25</v>
      </c>
      <c r="O2331" t="s">
        <v>25</v>
      </c>
      <c r="P2331">
        <v>0</v>
      </c>
      <c r="Q2331">
        <v>0</v>
      </c>
      <c r="R2331" t="s">
        <v>1285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45382</v>
      </c>
      <c r="G2332">
        <v>2024</v>
      </c>
      <c r="H2332" t="s">
        <v>1516</v>
      </c>
      <c r="I2332" t="s">
        <v>729</v>
      </c>
      <c r="J2332">
        <v>0</v>
      </c>
      <c r="K2332">
        <v>52</v>
      </c>
      <c r="L2332" s="39" t="str">
        <f t="shared" si="147"/>
        <v/>
      </c>
      <c r="M2332" s="39" t="str">
        <f t="shared" si="148"/>
        <v/>
      </c>
      <c r="P2332">
        <v>0</v>
      </c>
      <c r="Q2332">
        <v>0</v>
      </c>
      <c r="R2332" t="s">
        <v>3069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45473</v>
      </c>
      <c r="G2333">
        <v>2024</v>
      </c>
      <c r="H2333" t="s">
        <v>699</v>
      </c>
      <c r="I2333" t="s">
        <v>729</v>
      </c>
      <c r="J2333">
        <v>100</v>
      </c>
      <c r="K2333">
        <v>140</v>
      </c>
      <c r="L2333" s="39">
        <f t="shared" si="147"/>
        <v>1.3</v>
      </c>
      <c r="M2333" s="39">
        <f t="shared" si="148"/>
        <v>1.4</v>
      </c>
      <c r="P2333">
        <v>0</v>
      </c>
      <c r="Q2333">
        <v>0</v>
      </c>
      <c r="R2333" t="s">
        <v>3070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21</v>
      </c>
      <c r="E2334" t="s">
        <v>22</v>
      </c>
      <c r="F2334" s="79">
        <v>45565</v>
      </c>
      <c r="G2334">
        <v>2024</v>
      </c>
      <c r="H2334" t="s">
        <v>162</v>
      </c>
      <c r="I2334" t="s">
        <v>30</v>
      </c>
      <c r="J2334">
        <v>100</v>
      </c>
      <c r="K2334">
        <v>300</v>
      </c>
      <c r="L2334" s="39">
        <f t="shared" si="147"/>
        <v>1.3</v>
      </c>
      <c r="M2334" s="39">
        <f t="shared" si="148"/>
        <v>3</v>
      </c>
      <c r="P2334">
        <v>0</v>
      </c>
      <c r="Q2334">
        <v>0</v>
      </c>
      <c r="R2334" t="s">
        <v>3071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21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100</v>
      </c>
      <c r="K2335">
        <v>148</v>
      </c>
      <c r="L2335" s="39">
        <f t="shared" si="147"/>
        <v>1.3</v>
      </c>
      <c r="M2335" s="39">
        <f t="shared" si="148"/>
        <v>1.48</v>
      </c>
      <c r="P2335">
        <v>0</v>
      </c>
      <c r="Q2335">
        <v>0</v>
      </c>
      <c r="R2335" t="s">
        <v>1287</v>
      </c>
    </row>
    <row r="2336" spans="1:18" hidden="1" x14ac:dyDescent="0.3">
      <c r="A2336">
        <v>453</v>
      </c>
      <c r="B2336" t="s">
        <v>1286</v>
      </c>
      <c r="C2336" t="s">
        <v>1089</v>
      </c>
      <c r="D2336" t="s">
        <v>21</v>
      </c>
      <c r="E2336" t="s">
        <v>22</v>
      </c>
      <c r="F2336" s="79">
        <v>45747</v>
      </c>
      <c r="G2336">
        <v>2025</v>
      </c>
      <c r="H2336" t="s">
        <v>1516</v>
      </c>
      <c r="I2336" t="s">
        <v>700</v>
      </c>
      <c r="J2336">
        <v>100</v>
      </c>
      <c r="K2336">
        <v>48</v>
      </c>
      <c r="L2336" s="39">
        <f t="shared" si="147"/>
        <v>0.48</v>
      </c>
      <c r="M2336" s="39">
        <f t="shared" si="148"/>
        <v>0.48</v>
      </c>
      <c r="P2336">
        <v>0</v>
      </c>
      <c r="Q2336">
        <v>0</v>
      </c>
      <c r="R2336" t="s">
        <v>3072</v>
      </c>
    </row>
    <row r="2337" spans="1:18" hidden="1" x14ac:dyDescent="0.3">
      <c r="A2337">
        <v>453</v>
      </c>
      <c r="B2337" t="s">
        <v>1286</v>
      </c>
      <c r="C2337" t="s">
        <v>1089</v>
      </c>
      <c r="D2337" t="s">
        <v>21</v>
      </c>
      <c r="E2337" t="s">
        <v>22</v>
      </c>
      <c r="F2337" s="79">
        <v>45838</v>
      </c>
      <c r="G2337">
        <v>2025</v>
      </c>
      <c r="H2337" t="s">
        <v>699</v>
      </c>
      <c r="I2337" t="s">
        <v>700</v>
      </c>
      <c r="J2337">
        <v>100</v>
      </c>
      <c r="K2337">
        <v>100</v>
      </c>
      <c r="L2337" s="39">
        <f t="shared" si="147"/>
        <v>1</v>
      </c>
      <c r="M2337" s="39">
        <f t="shared" si="148"/>
        <v>1</v>
      </c>
      <c r="P2337">
        <v>0</v>
      </c>
      <c r="Q2337">
        <v>0</v>
      </c>
      <c r="R2337" t="s">
        <v>3073</v>
      </c>
    </row>
    <row r="2338" spans="1:18" hidden="1" x14ac:dyDescent="0.3">
      <c r="A2338">
        <v>453</v>
      </c>
      <c r="B2338" t="s">
        <v>1286</v>
      </c>
      <c r="C2338" t="s">
        <v>1089</v>
      </c>
      <c r="D2338" t="s">
        <v>27</v>
      </c>
      <c r="E2338" t="s">
        <v>22</v>
      </c>
      <c r="F2338" s="79">
        <v>45930</v>
      </c>
      <c r="G2338">
        <v>2025</v>
      </c>
      <c r="H2338" t="s">
        <v>162</v>
      </c>
      <c r="I2338" t="s">
        <v>32</v>
      </c>
      <c r="J2338">
        <v>100</v>
      </c>
      <c r="K2338">
        <v>100</v>
      </c>
      <c r="L2338" s="39">
        <f t="shared" si="147"/>
        <v>1</v>
      </c>
      <c r="M2338" s="39">
        <f t="shared" si="148"/>
        <v>1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453</v>
      </c>
      <c r="B2339" t="s">
        <v>1286</v>
      </c>
      <c r="C2339" t="s">
        <v>1089</v>
      </c>
      <c r="D2339" t="s">
        <v>27</v>
      </c>
      <c r="E2339" t="s">
        <v>22</v>
      </c>
      <c r="F2339" s="79">
        <v>46022</v>
      </c>
      <c r="G2339">
        <v>2025</v>
      </c>
      <c r="H2339" t="s">
        <v>23</v>
      </c>
      <c r="I2339" t="s">
        <v>32</v>
      </c>
      <c r="J2339">
        <v>100</v>
      </c>
      <c r="K2339">
        <v>100</v>
      </c>
      <c r="L2339" s="39">
        <f t="shared" ref="L2339:L2370" si="149">IFERROR(IF(OR(J2339=0,K2339=""),"",IF(E2339="Positivo",MIN(MAX(K2339/J2339,0),1.3),MIN(MAX(J2339/K2339,0),1.3))),"")</f>
        <v>1</v>
      </c>
      <c r="M2339" s="39">
        <f t="shared" ref="M2339:M2370" si="150">IFERROR(IF(OR(J2339=0,K2339=""),"",IF(E2339="Positivo",MAX(K2339/J2339,0),MAX(J2339/K2339,0))),"")</f>
        <v>1</v>
      </c>
      <c r="N2339" t="s">
        <v>25</v>
      </c>
      <c r="O2339" t="s">
        <v>25</v>
      </c>
      <c r="P2339">
        <v>0</v>
      </c>
      <c r="Q2339">
        <v>0</v>
      </c>
      <c r="R2339" t="s">
        <v>1288</v>
      </c>
    </row>
    <row r="2340" spans="1:18" hidden="1" x14ac:dyDescent="0.3">
      <c r="A2340">
        <v>454</v>
      </c>
      <c r="B2340" t="s">
        <v>1289</v>
      </c>
      <c r="C2340" t="s">
        <v>1089</v>
      </c>
      <c r="D2340" t="s">
        <v>21</v>
      </c>
      <c r="E2340" t="s">
        <v>22</v>
      </c>
      <c r="F2340" s="79">
        <v>45565</v>
      </c>
      <c r="G2340">
        <v>2024</v>
      </c>
      <c r="H2340" t="s">
        <v>162</v>
      </c>
      <c r="I2340" t="s">
        <v>30</v>
      </c>
      <c r="J2340">
        <v>0</v>
      </c>
      <c r="K2340">
        <v>88</v>
      </c>
      <c r="L2340" s="39" t="str">
        <f t="shared" si="149"/>
        <v/>
      </c>
      <c r="M2340" s="39" t="str">
        <f t="shared" si="150"/>
        <v/>
      </c>
      <c r="P2340">
        <v>0</v>
      </c>
      <c r="Q2340">
        <v>0</v>
      </c>
      <c r="R2340" t="s">
        <v>3075</v>
      </c>
    </row>
    <row r="2341" spans="1:18" hidden="1" x14ac:dyDescent="0.3">
      <c r="A2341">
        <v>454</v>
      </c>
      <c r="B2341" t="s">
        <v>1289</v>
      </c>
      <c r="C2341" t="s">
        <v>1089</v>
      </c>
      <c r="D2341" t="s">
        <v>21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0</v>
      </c>
      <c r="K2341">
        <v>88</v>
      </c>
      <c r="L2341" s="39" t="str">
        <f t="shared" si="149"/>
        <v/>
      </c>
      <c r="M2341" s="39" t="str">
        <f t="shared" si="150"/>
        <v/>
      </c>
      <c r="P2341">
        <v>0</v>
      </c>
      <c r="Q2341">
        <v>0</v>
      </c>
      <c r="R2341" t="s">
        <v>1290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21</v>
      </c>
      <c r="E2342" t="s">
        <v>22</v>
      </c>
      <c r="F2342" s="79">
        <v>45565</v>
      </c>
      <c r="G2342">
        <v>2024</v>
      </c>
      <c r="H2342" t="s">
        <v>162</v>
      </c>
      <c r="I2342" t="s">
        <v>30</v>
      </c>
      <c r="J2342">
        <v>90</v>
      </c>
      <c r="K2342">
        <v>100</v>
      </c>
      <c r="L2342" s="39">
        <f t="shared" si="149"/>
        <v>1.1111111111111112</v>
      </c>
      <c r="M2342" s="39">
        <f t="shared" si="150"/>
        <v>1.1111111111111112</v>
      </c>
      <c r="N2342" t="s">
        <v>25</v>
      </c>
      <c r="O2342" t="s">
        <v>25</v>
      </c>
      <c r="P2342">
        <v>0</v>
      </c>
      <c r="Q2342">
        <v>0</v>
      </c>
      <c r="R2342" t="s">
        <v>3076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21</v>
      </c>
      <c r="E2343" t="s">
        <v>22</v>
      </c>
      <c r="F2343" s="79">
        <v>45657</v>
      </c>
      <c r="G2343">
        <v>2024</v>
      </c>
      <c r="H2343" t="s">
        <v>23</v>
      </c>
      <c r="I2343" t="s">
        <v>30</v>
      </c>
      <c r="J2343">
        <v>90</v>
      </c>
      <c r="K2343">
        <v>100</v>
      </c>
      <c r="L2343" s="39">
        <f t="shared" si="149"/>
        <v>1.1111111111111112</v>
      </c>
      <c r="M2343" s="39">
        <f t="shared" si="150"/>
        <v>1.1111111111111112</v>
      </c>
      <c r="N2343" t="s">
        <v>25</v>
      </c>
      <c r="O2343" t="s">
        <v>25</v>
      </c>
      <c r="P2343">
        <v>0</v>
      </c>
      <c r="Q2343">
        <v>0</v>
      </c>
      <c r="R2343" t="s">
        <v>1292</v>
      </c>
    </row>
    <row r="2344" spans="1:18" hidden="1" x14ac:dyDescent="0.3">
      <c r="A2344">
        <v>455</v>
      </c>
      <c r="B2344" t="s">
        <v>1291</v>
      </c>
      <c r="C2344" t="s">
        <v>1089</v>
      </c>
      <c r="D2344" t="s">
        <v>27</v>
      </c>
      <c r="E2344" t="s">
        <v>22</v>
      </c>
      <c r="F2344" s="79">
        <v>45747</v>
      </c>
      <c r="G2344">
        <v>2025</v>
      </c>
      <c r="H2344" t="s">
        <v>1516</v>
      </c>
      <c r="I2344" t="s">
        <v>700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3077</v>
      </c>
    </row>
    <row r="2345" spans="1:18" hidden="1" x14ac:dyDescent="0.3">
      <c r="A2345">
        <v>455</v>
      </c>
      <c r="B2345" t="s">
        <v>1291</v>
      </c>
      <c r="C2345" t="s">
        <v>1089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100</v>
      </c>
      <c r="K2345">
        <v>100</v>
      </c>
      <c r="L2345" s="39">
        <f t="shared" si="149"/>
        <v>1</v>
      </c>
      <c r="M2345" s="39">
        <f t="shared" si="150"/>
        <v>1</v>
      </c>
      <c r="N2345" t="s">
        <v>25</v>
      </c>
      <c r="O2345" t="s">
        <v>25</v>
      </c>
      <c r="P2345">
        <v>0</v>
      </c>
      <c r="Q2345">
        <v>0</v>
      </c>
      <c r="R2345" t="s">
        <v>3078</v>
      </c>
    </row>
    <row r="2346" spans="1:18" hidden="1" x14ac:dyDescent="0.3">
      <c r="A2346">
        <v>455</v>
      </c>
      <c r="B2346" t="s">
        <v>1291</v>
      </c>
      <c r="C2346" t="s">
        <v>1089</v>
      </c>
      <c r="D2346" t="s">
        <v>27</v>
      </c>
      <c r="E2346" t="s">
        <v>22</v>
      </c>
      <c r="F2346" s="79">
        <v>45930</v>
      </c>
      <c r="G2346">
        <v>2025</v>
      </c>
      <c r="H2346" t="s">
        <v>162</v>
      </c>
      <c r="I2346" t="s">
        <v>32</v>
      </c>
      <c r="J2346">
        <v>100</v>
      </c>
      <c r="K2346">
        <v>100</v>
      </c>
      <c r="L2346" s="39">
        <f t="shared" si="149"/>
        <v>1</v>
      </c>
      <c r="M2346" s="39">
        <f t="shared" si="150"/>
        <v>1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455</v>
      </c>
      <c r="B2347" t="s">
        <v>1291</v>
      </c>
      <c r="C2347" t="s">
        <v>1089</v>
      </c>
      <c r="D2347" t="s">
        <v>27</v>
      </c>
      <c r="E2347" t="s">
        <v>22</v>
      </c>
      <c r="F2347" s="79">
        <v>46022</v>
      </c>
      <c r="G2347">
        <v>2025</v>
      </c>
      <c r="H2347" t="s">
        <v>23</v>
      </c>
      <c r="I2347" t="s">
        <v>32</v>
      </c>
      <c r="J2347">
        <v>100</v>
      </c>
      <c r="K2347">
        <v>100</v>
      </c>
      <c r="L2347" s="39">
        <f t="shared" si="149"/>
        <v>1</v>
      </c>
      <c r="M2347" s="39">
        <f t="shared" si="150"/>
        <v>1</v>
      </c>
      <c r="N2347" t="s">
        <v>25</v>
      </c>
      <c r="O2347" t="s">
        <v>25</v>
      </c>
      <c r="P2347">
        <v>0</v>
      </c>
      <c r="Q2347">
        <v>0</v>
      </c>
      <c r="R2347" t="s">
        <v>1293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45473</v>
      </c>
      <c r="G2348">
        <v>2024</v>
      </c>
      <c r="H2348" t="s">
        <v>699</v>
      </c>
      <c r="I2348" t="s">
        <v>729</v>
      </c>
      <c r="J2348">
        <v>100</v>
      </c>
      <c r="K2348">
        <v>100</v>
      </c>
      <c r="L2348" s="39">
        <f t="shared" si="149"/>
        <v>1</v>
      </c>
      <c r="M2348" s="39">
        <f t="shared" si="150"/>
        <v>1</v>
      </c>
      <c r="N2348" t="s">
        <v>25</v>
      </c>
      <c r="O2348" t="s">
        <v>25</v>
      </c>
      <c r="P2348">
        <v>0</v>
      </c>
      <c r="Q2348">
        <v>0</v>
      </c>
      <c r="R2348" t="s">
        <v>3080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45657</v>
      </c>
      <c r="G2349">
        <v>2024</v>
      </c>
      <c r="H2349" t="s">
        <v>23</v>
      </c>
      <c r="I2349" t="s">
        <v>30</v>
      </c>
      <c r="J2349">
        <v>100</v>
      </c>
      <c r="K2349">
        <v>94.69</v>
      </c>
      <c r="L2349" s="39">
        <f t="shared" si="149"/>
        <v>0.94689999999999996</v>
      </c>
      <c r="M2349" s="39">
        <f t="shared" si="150"/>
        <v>0.94689999999999996</v>
      </c>
      <c r="N2349" t="s">
        <v>25</v>
      </c>
      <c r="O2349" t="s">
        <v>25</v>
      </c>
      <c r="P2349">
        <v>0</v>
      </c>
      <c r="Q2349">
        <v>0</v>
      </c>
      <c r="R2349" t="s">
        <v>1295</v>
      </c>
    </row>
    <row r="2350" spans="1:18" hidden="1" x14ac:dyDescent="0.3">
      <c r="A2350">
        <v>456</v>
      </c>
      <c r="B2350" t="s">
        <v>1294</v>
      </c>
      <c r="C2350" t="s">
        <v>149</v>
      </c>
      <c r="D2350" t="s">
        <v>27</v>
      </c>
      <c r="E2350" t="s">
        <v>22</v>
      </c>
      <c r="F2350" s="79">
        <v>45747</v>
      </c>
      <c r="G2350">
        <v>2025</v>
      </c>
      <c r="H2350" t="s">
        <v>1516</v>
      </c>
      <c r="I2350" t="s">
        <v>700</v>
      </c>
      <c r="J2350">
        <v>100</v>
      </c>
      <c r="K2350">
        <v>106.25</v>
      </c>
      <c r="L2350" s="39">
        <f t="shared" si="149"/>
        <v>1.0625</v>
      </c>
      <c r="M2350" s="39">
        <f t="shared" si="150"/>
        <v>1.0625</v>
      </c>
      <c r="N2350" t="s">
        <v>25</v>
      </c>
      <c r="O2350" t="s">
        <v>25</v>
      </c>
      <c r="P2350">
        <v>0</v>
      </c>
      <c r="Q2350">
        <v>0</v>
      </c>
      <c r="R2350" t="s">
        <v>3081</v>
      </c>
    </row>
    <row r="2351" spans="1:18" hidden="1" x14ac:dyDescent="0.3">
      <c r="A2351">
        <v>456</v>
      </c>
      <c r="B2351" t="s">
        <v>1294</v>
      </c>
      <c r="C2351" t="s">
        <v>149</v>
      </c>
      <c r="D2351" t="s">
        <v>27</v>
      </c>
      <c r="E2351" t="s">
        <v>22</v>
      </c>
      <c r="F2351" s="79">
        <v>45838</v>
      </c>
      <c r="G2351">
        <v>2025</v>
      </c>
      <c r="H2351" t="s">
        <v>699</v>
      </c>
      <c r="I2351" t="s">
        <v>700</v>
      </c>
      <c r="J2351">
        <v>100</v>
      </c>
      <c r="K2351">
        <v>104.12</v>
      </c>
      <c r="L2351" s="39">
        <f t="shared" si="149"/>
        <v>1.0412000000000001</v>
      </c>
      <c r="M2351" s="39">
        <f t="shared" si="150"/>
        <v>1.0412000000000001</v>
      </c>
      <c r="N2351" t="s">
        <v>25</v>
      </c>
      <c r="O2351" t="s">
        <v>25</v>
      </c>
      <c r="P2351">
        <v>0</v>
      </c>
      <c r="Q2351">
        <v>0</v>
      </c>
      <c r="R2351" t="s">
        <v>3082</v>
      </c>
    </row>
    <row r="2352" spans="1:18" hidden="1" x14ac:dyDescent="0.3">
      <c r="A2352">
        <v>456</v>
      </c>
      <c r="B2352" t="s">
        <v>1294</v>
      </c>
      <c r="C2352" t="s">
        <v>149</v>
      </c>
      <c r="D2352" t="s">
        <v>27</v>
      </c>
      <c r="E2352" t="s">
        <v>22</v>
      </c>
      <c r="F2352" s="79">
        <v>45930</v>
      </c>
      <c r="G2352">
        <v>2025</v>
      </c>
      <c r="H2352" t="s">
        <v>162</v>
      </c>
      <c r="I2352" t="s">
        <v>32</v>
      </c>
      <c r="J2352">
        <v>100</v>
      </c>
      <c r="K2352">
        <v>121.57</v>
      </c>
      <c r="L2352" s="39">
        <f t="shared" si="149"/>
        <v>1.2157</v>
      </c>
      <c r="M2352" s="39">
        <f t="shared" si="150"/>
        <v>1.2157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8" hidden="1" x14ac:dyDescent="0.3">
      <c r="A2353">
        <v>456</v>
      </c>
      <c r="B2353" t="s">
        <v>1294</v>
      </c>
      <c r="C2353" t="s">
        <v>149</v>
      </c>
      <c r="D2353" t="s">
        <v>27</v>
      </c>
      <c r="E2353" t="s">
        <v>22</v>
      </c>
      <c r="F2353" s="79">
        <v>46022</v>
      </c>
      <c r="G2353">
        <v>2025</v>
      </c>
      <c r="H2353" t="s">
        <v>23</v>
      </c>
      <c r="I2353" t="s">
        <v>32</v>
      </c>
      <c r="J2353">
        <v>100</v>
      </c>
      <c r="K2353">
        <v>114.43</v>
      </c>
      <c r="L2353" s="39">
        <f t="shared" si="149"/>
        <v>1.1443000000000001</v>
      </c>
      <c r="M2353" s="39">
        <f t="shared" si="150"/>
        <v>1.1443000000000001</v>
      </c>
      <c r="N2353" t="s">
        <v>25</v>
      </c>
      <c r="O2353" t="s">
        <v>25</v>
      </c>
      <c r="P2353">
        <v>0</v>
      </c>
      <c r="Q2353">
        <v>0</v>
      </c>
      <c r="R2353" t="s">
        <v>1296</v>
      </c>
    </row>
    <row r="2354" spans="1:18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45473</v>
      </c>
      <c r="G2354">
        <v>2024</v>
      </c>
      <c r="H2354" t="s">
        <v>699</v>
      </c>
      <c r="I2354" t="s">
        <v>729</v>
      </c>
      <c r="J2354">
        <v>100</v>
      </c>
      <c r="K2354">
        <v>90</v>
      </c>
      <c r="L2354" s="39">
        <f t="shared" si="149"/>
        <v>0.9</v>
      </c>
      <c r="M2354" s="39">
        <f t="shared" si="150"/>
        <v>0.9</v>
      </c>
      <c r="N2354" t="s">
        <v>25</v>
      </c>
      <c r="O2354" t="s">
        <v>25</v>
      </c>
      <c r="P2354">
        <v>0</v>
      </c>
      <c r="Q2354">
        <v>0</v>
      </c>
      <c r="R2354" t="s">
        <v>3084</v>
      </c>
    </row>
    <row r="2355" spans="1:18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45657</v>
      </c>
      <c r="G2355">
        <v>2024</v>
      </c>
      <c r="H2355" t="s">
        <v>23</v>
      </c>
      <c r="I2355" t="s">
        <v>30</v>
      </c>
      <c r="J2355">
        <v>100</v>
      </c>
      <c r="K2355">
        <v>70</v>
      </c>
      <c r="L2355" s="39">
        <f t="shared" si="149"/>
        <v>0.7</v>
      </c>
      <c r="M2355" s="39">
        <f t="shared" si="150"/>
        <v>0.7</v>
      </c>
      <c r="N2355" t="s">
        <v>25</v>
      </c>
      <c r="O2355" t="s">
        <v>25</v>
      </c>
      <c r="P2355">
        <v>0</v>
      </c>
      <c r="Q2355">
        <v>0</v>
      </c>
      <c r="R2355" t="s">
        <v>1298</v>
      </c>
    </row>
    <row r="2356" spans="1:18" hidden="1" x14ac:dyDescent="0.3">
      <c r="A2356">
        <v>457</v>
      </c>
      <c r="B2356" t="s">
        <v>1297</v>
      </c>
      <c r="C2356" t="s">
        <v>149</v>
      </c>
      <c r="D2356" t="s">
        <v>27</v>
      </c>
      <c r="E2356" t="s">
        <v>22</v>
      </c>
      <c r="F2356" s="79">
        <v>45747</v>
      </c>
      <c r="G2356">
        <v>2025</v>
      </c>
      <c r="H2356" t="s">
        <v>1516</v>
      </c>
      <c r="I2356" t="s">
        <v>700</v>
      </c>
      <c r="J2356">
        <v>100</v>
      </c>
      <c r="K2356">
        <v>200</v>
      </c>
      <c r="L2356" s="39">
        <f t="shared" si="149"/>
        <v>1.3</v>
      </c>
      <c r="M2356" s="39">
        <f t="shared" si="150"/>
        <v>2</v>
      </c>
      <c r="N2356" t="s">
        <v>25</v>
      </c>
      <c r="O2356" t="s">
        <v>25</v>
      </c>
      <c r="P2356">
        <v>0</v>
      </c>
      <c r="Q2356">
        <v>0</v>
      </c>
      <c r="R2356" t="s">
        <v>3085</v>
      </c>
    </row>
    <row r="2357" spans="1:18" hidden="1" x14ac:dyDescent="0.3">
      <c r="A2357">
        <v>457</v>
      </c>
      <c r="B2357" t="s">
        <v>1297</v>
      </c>
      <c r="C2357" t="s">
        <v>149</v>
      </c>
      <c r="D2357" t="s">
        <v>27</v>
      </c>
      <c r="E2357" t="s">
        <v>22</v>
      </c>
      <c r="F2357" s="79">
        <v>45838</v>
      </c>
      <c r="G2357">
        <v>2025</v>
      </c>
      <c r="H2357" t="s">
        <v>699</v>
      </c>
      <c r="I2357" t="s">
        <v>700</v>
      </c>
      <c r="J2357">
        <v>100</v>
      </c>
      <c r="K2357">
        <v>83.33</v>
      </c>
      <c r="L2357" s="39">
        <f t="shared" si="149"/>
        <v>0.83329999999999993</v>
      </c>
      <c r="M2357" s="39">
        <f t="shared" si="150"/>
        <v>0.83329999999999993</v>
      </c>
      <c r="N2357" t="s">
        <v>25</v>
      </c>
      <c r="O2357" t="s">
        <v>25</v>
      </c>
      <c r="P2357">
        <v>0</v>
      </c>
      <c r="Q2357">
        <v>0</v>
      </c>
      <c r="R2357" t="s">
        <v>3086</v>
      </c>
    </row>
    <row r="2358" spans="1:18" hidden="1" x14ac:dyDescent="0.3">
      <c r="A2358">
        <v>457</v>
      </c>
      <c r="B2358" t="s">
        <v>1297</v>
      </c>
      <c r="C2358" t="s">
        <v>149</v>
      </c>
      <c r="D2358" t="s">
        <v>27</v>
      </c>
      <c r="E2358" t="s">
        <v>22</v>
      </c>
      <c r="F2358" s="79">
        <v>45930</v>
      </c>
      <c r="G2358">
        <v>2025</v>
      </c>
      <c r="H2358" t="s">
        <v>162</v>
      </c>
      <c r="I2358" t="s">
        <v>32</v>
      </c>
      <c r="J2358">
        <v>100</v>
      </c>
      <c r="K2358">
        <v>85.71</v>
      </c>
      <c r="L2358" s="39">
        <f t="shared" si="149"/>
        <v>0.85709999999999997</v>
      </c>
      <c r="M2358" s="39">
        <f t="shared" si="150"/>
        <v>0.85709999999999997</v>
      </c>
      <c r="N2358" t="s">
        <v>25</v>
      </c>
      <c r="O2358" t="s">
        <v>25</v>
      </c>
      <c r="P2358">
        <v>0</v>
      </c>
      <c r="Q2358">
        <v>0</v>
      </c>
      <c r="R2358" t="s">
        <v>3087</v>
      </c>
    </row>
    <row r="2359" spans="1:18" hidden="1" x14ac:dyDescent="0.3">
      <c r="A2359">
        <v>457</v>
      </c>
      <c r="B2359" t="s">
        <v>1297</v>
      </c>
      <c r="C2359" t="s">
        <v>149</v>
      </c>
      <c r="D2359" t="s">
        <v>27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100</v>
      </c>
      <c r="K2359">
        <v>83.33</v>
      </c>
      <c r="L2359" s="39">
        <f t="shared" si="149"/>
        <v>0.83329999999999993</v>
      </c>
      <c r="M2359" s="39">
        <f t="shared" si="150"/>
        <v>0.83329999999999993</v>
      </c>
      <c r="N2359" t="s">
        <v>25</v>
      </c>
      <c r="O2359" t="s">
        <v>25</v>
      </c>
      <c r="P2359">
        <v>0</v>
      </c>
      <c r="Q2359">
        <v>0</v>
      </c>
      <c r="R2359" t="s">
        <v>1299</v>
      </c>
    </row>
    <row r="2360" spans="1:18" hidden="1" x14ac:dyDescent="0.3">
      <c r="A2360">
        <v>459</v>
      </c>
      <c r="B2360" t="s">
        <v>1300</v>
      </c>
      <c r="C2360" t="s">
        <v>1078</v>
      </c>
      <c r="D2360" t="s">
        <v>21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100</v>
      </c>
      <c r="K2360">
        <v>130.43</v>
      </c>
      <c r="L2360" s="39">
        <f t="shared" si="149"/>
        <v>1.3</v>
      </c>
      <c r="M2360" s="39">
        <f t="shared" si="150"/>
        <v>1.3043</v>
      </c>
      <c r="P2360">
        <v>0</v>
      </c>
      <c r="Q2360">
        <v>0</v>
      </c>
      <c r="R2360" t="s">
        <v>3088</v>
      </c>
    </row>
    <row r="2361" spans="1:18" hidden="1" x14ac:dyDescent="0.3">
      <c r="A2361">
        <v>459</v>
      </c>
      <c r="B2361" t="s">
        <v>1300</v>
      </c>
      <c r="C2361" t="s">
        <v>1078</v>
      </c>
      <c r="D2361" t="s">
        <v>21</v>
      </c>
      <c r="E2361" t="s">
        <v>22</v>
      </c>
      <c r="F2361" s="79">
        <v>45565</v>
      </c>
      <c r="G2361">
        <v>2024</v>
      </c>
      <c r="H2361" t="s">
        <v>162</v>
      </c>
      <c r="I2361" t="s">
        <v>30</v>
      </c>
      <c r="J2361">
        <v>100</v>
      </c>
      <c r="K2361">
        <v>147.83000000000001</v>
      </c>
      <c r="L2361" s="39">
        <f t="shared" si="149"/>
        <v>1.3</v>
      </c>
      <c r="M2361" s="39">
        <f t="shared" si="150"/>
        <v>1.4783000000000002</v>
      </c>
      <c r="P2361">
        <v>0</v>
      </c>
      <c r="Q2361">
        <v>0</v>
      </c>
      <c r="R2361" t="s">
        <v>3089</v>
      </c>
    </row>
    <row r="2362" spans="1:18" hidden="1" x14ac:dyDescent="0.3">
      <c r="A2362">
        <v>460</v>
      </c>
      <c r="B2362" t="s">
        <v>1302</v>
      </c>
      <c r="C2362" t="s">
        <v>40</v>
      </c>
      <c r="D2362" t="s">
        <v>71</v>
      </c>
      <c r="E2362" t="s">
        <v>22</v>
      </c>
      <c r="F2362" s="79">
        <v>45657</v>
      </c>
      <c r="G2362">
        <v>2024</v>
      </c>
      <c r="H2362" t="s">
        <v>23</v>
      </c>
      <c r="I2362" t="s">
        <v>30</v>
      </c>
      <c r="J2362">
        <v>80</v>
      </c>
      <c r="K2362">
        <v>91.439688715953324</v>
      </c>
      <c r="L2362" s="39">
        <f t="shared" si="149"/>
        <v>1.1429961089494165</v>
      </c>
      <c r="M2362" s="39">
        <f t="shared" si="150"/>
        <v>1.1429961089494165</v>
      </c>
      <c r="P2362">
        <v>0</v>
      </c>
      <c r="Q2362">
        <v>0</v>
      </c>
      <c r="R2362" t="s">
        <v>1303</v>
      </c>
    </row>
    <row r="2363" spans="1:18" hidden="1" x14ac:dyDescent="0.3">
      <c r="A2363">
        <v>460</v>
      </c>
      <c r="B2363" t="s">
        <v>1302</v>
      </c>
      <c r="C2363" t="s">
        <v>40</v>
      </c>
      <c r="D2363" t="s">
        <v>71</v>
      </c>
      <c r="E2363" t="s">
        <v>22</v>
      </c>
      <c r="F2363" s="79">
        <v>46022</v>
      </c>
      <c r="G2363">
        <v>2025</v>
      </c>
      <c r="H2363" t="s">
        <v>23</v>
      </c>
      <c r="I2363" t="s">
        <v>32</v>
      </c>
      <c r="J2363">
        <v>80</v>
      </c>
      <c r="K2363">
        <v>84.18</v>
      </c>
      <c r="L2363" s="39">
        <f t="shared" si="149"/>
        <v>1.0522500000000001</v>
      </c>
      <c r="M2363" s="39">
        <f t="shared" si="150"/>
        <v>1.0522500000000001</v>
      </c>
      <c r="N2363" t="s">
        <v>25</v>
      </c>
      <c r="O2363" t="s">
        <v>25</v>
      </c>
      <c r="P2363">
        <v>0</v>
      </c>
      <c r="Q2363">
        <v>1</v>
      </c>
      <c r="R2363" t="s">
        <v>1305</v>
      </c>
    </row>
    <row r="2364" spans="1:18" hidden="1" x14ac:dyDescent="0.3">
      <c r="A2364">
        <v>462</v>
      </c>
      <c r="B2364" t="s">
        <v>1306</v>
      </c>
      <c r="C2364" t="s">
        <v>308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85</v>
      </c>
      <c r="K2364">
        <v>100</v>
      </c>
      <c r="L2364" s="39">
        <f t="shared" si="149"/>
        <v>1.1764705882352942</v>
      </c>
      <c r="M2364" s="39">
        <f t="shared" si="150"/>
        <v>1.1764705882352942</v>
      </c>
      <c r="P2364">
        <v>0</v>
      </c>
      <c r="Q2364">
        <v>0</v>
      </c>
      <c r="R2364" t="s">
        <v>3090</v>
      </c>
    </row>
    <row r="2365" spans="1:18" hidden="1" x14ac:dyDescent="0.3">
      <c r="A2365">
        <v>462</v>
      </c>
      <c r="B2365" t="s">
        <v>1306</v>
      </c>
      <c r="C2365" t="s">
        <v>308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85</v>
      </c>
      <c r="K2365">
        <v>100</v>
      </c>
      <c r="L2365" s="39">
        <f t="shared" si="149"/>
        <v>1.1764705882352942</v>
      </c>
      <c r="M2365" s="39">
        <f t="shared" si="150"/>
        <v>1.1764705882352942</v>
      </c>
      <c r="P2365">
        <v>0</v>
      </c>
      <c r="Q2365">
        <v>0</v>
      </c>
      <c r="R2365" t="s">
        <v>1307</v>
      </c>
    </row>
    <row r="2366" spans="1:18" hidden="1" x14ac:dyDescent="0.3">
      <c r="A2366">
        <v>463</v>
      </c>
      <c r="B2366" t="s">
        <v>1308</v>
      </c>
      <c r="C2366" t="s">
        <v>40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100</v>
      </c>
      <c r="K2366">
        <v>95</v>
      </c>
      <c r="L2366" s="39">
        <f t="shared" si="149"/>
        <v>0.95</v>
      </c>
      <c r="M2366" s="39">
        <f t="shared" si="150"/>
        <v>0.95</v>
      </c>
      <c r="N2366" t="s">
        <v>25</v>
      </c>
      <c r="O2366" t="s">
        <v>25</v>
      </c>
      <c r="P2366">
        <v>0</v>
      </c>
      <c r="Q2366">
        <v>0</v>
      </c>
      <c r="R2366" t="s">
        <v>3091</v>
      </c>
    </row>
    <row r="2367" spans="1:18" hidden="1" x14ac:dyDescent="0.3">
      <c r="A2367">
        <v>463</v>
      </c>
      <c r="B2367" t="s">
        <v>1308</v>
      </c>
      <c r="C2367" t="s">
        <v>40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100</v>
      </c>
      <c r="L2367" s="39">
        <f t="shared" si="149"/>
        <v>1</v>
      </c>
      <c r="M2367" s="39">
        <f t="shared" si="150"/>
        <v>1</v>
      </c>
      <c r="N2367" t="s">
        <v>25</v>
      </c>
      <c r="O2367" t="s">
        <v>25</v>
      </c>
      <c r="P2367">
        <v>0</v>
      </c>
      <c r="Q2367">
        <v>0</v>
      </c>
      <c r="R2367" t="s">
        <v>1309</v>
      </c>
    </row>
    <row r="2368" spans="1:18" hidden="1" x14ac:dyDescent="0.3">
      <c r="A2368">
        <v>465</v>
      </c>
      <c r="B2368" t="s">
        <v>1310</v>
      </c>
      <c r="C2368" t="s">
        <v>922</v>
      </c>
      <c r="D2368" t="s">
        <v>27</v>
      </c>
      <c r="E2368" t="s">
        <v>22</v>
      </c>
      <c r="F2368" s="79">
        <v>45473</v>
      </c>
      <c r="G2368">
        <v>2024</v>
      </c>
      <c r="H2368" t="s">
        <v>699</v>
      </c>
      <c r="I2368" t="s">
        <v>729</v>
      </c>
      <c r="J2368">
        <v>75</v>
      </c>
      <c r="K2368">
        <v>57.86</v>
      </c>
      <c r="L2368" s="39">
        <f t="shared" si="149"/>
        <v>0.77146666666666663</v>
      </c>
      <c r="M2368" s="39">
        <f t="shared" si="150"/>
        <v>0.77146666666666663</v>
      </c>
      <c r="N2368" t="s">
        <v>25</v>
      </c>
      <c r="O2368" t="s">
        <v>25</v>
      </c>
      <c r="P2368">
        <v>0</v>
      </c>
      <c r="Q2368">
        <v>0</v>
      </c>
      <c r="R2368" t="s">
        <v>3092</v>
      </c>
    </row>
    <row r="2369" spans="1:18" hidden="1" x14ac:dyDescent="0.3">
      <c r="A2369">
        <v>465</v>
      </c>
      <c r="B2369" t="s">
        <v>1310</v>
      </c>
      <c r="C2369" t="s">
        <v>922</v>
      </c>
      <c r="D2369" t="s">
        <v>27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56.83</v>
      </c>
      <c r="L2369" s="39">
        <f t="shared" si="149"/>
        <v>0.56830000000000003</v>
      </c>
      <c r="M2369" s="39">
        <f t="shared" si="150"/>
        <v>0.56830000000000003</v>
      </c>
      <c r="P2369">
        <v>0</v>
      </c>
      <c r="Q2369">
        <v>0</v>
      </c>
      <c r="R2369" t="s">
        <v>1311</v>
      </c>
    </row>
    <row r="2370" spans="1:18" hidden="1" x14ac:dyDescent="0.3">
      <c r="A2370">
        <v>466</v>
      </c>
      <c r="B2370" t="s">
        <v>1312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119.2</v>
      </c>
      <c r="L2370" s="39">
        <f t="shared" si="149"/>
        <v>1.1919999999999999</v>
      </c>
      <c r="M2370" s="39">
        <f t="shared" si="150"/>
        <v>1.1919999999999999</v>
      </c>
      <c r="N2370" t="s">
        <v>128</v>
      </c>
      <c r="O2370" t="s">
        <v>128</v>
      </c>
      <c r="P2370">
        <v>0</v>
      </c>
      <c r="Q2370">
        <v>1</v>
      </c>
      <c r="R2370" t="s">
        <v>3093</v>
      </c>
    </row>
    <row r="2371" spans="1:18" hidden="1" x14ac:dyDescent="0.3">
      <c r="A2371">
        <v>466</v>
      </c>
      <c r="B2371" t="s">
        <v>1312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107.6</v>
      </c>
      <c r="L2371" s="39">
        <f t="shared" ref="L2371:L2381" si="151">IFERROR(IF(OR(J2371=0,K2371=""),"",IF(E2371="Positivo",MIN(MAX(K2371/J2371,0),1.3),MIN(MAX(J2371/K2371,0),1.3))),"")</f>
        <v>1.0759999999999998</v>
      </c>
      <c r="M2371" s="39">
        <f t="shared" ref="M2371:M2402" si="152">IFERROR(IF(OR(J2371=0,K2371=""),"",IF(E2371="Positivo",MAX(K2371/J2371,0),MAX(J2371/K2371,0))),"")</f>
        <v>1.0759999999999998</v>
      </c>
      <c r="N2371" t="s">
        <v>128</v>
      </c>
      <c r="O2371" t="s">
        <v>136</v>
      </c>
      <c r="P2371">
        <v>0</v>
      </c>
      <c r="Q2371">
        <v>1</v>
      </c>
      <c r="R2371" t="s">
        <v>1313</v>
      </c>
    </row>
    <row r="2372" spans="1:18" hidden="1" x14ac:dyDescent="0.3">
      <c r="A2372">
        <v>466</v>
      </c>
      <c r="B2372" t="s">
        <v>1312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48</v>
      </c>
      <c r="L2372" s="39">
        <f t="shared" si="151"/>
        <v>0.48</v>
      </c>
      <c r="M2372" s="39">
        <f t="shared" si="152"/>
        <v>0.48</v>
      </c>
      <c r="N2372" t="s">
        <v>128</v>
      </c>
      <c r="O2372" t="s">
        <v>128</v>
      </c>
      <c r="P2372">
        <v>0</v>
      </c>
      <c r="Q2372">
        <v>0</v>
      </c>
      <c r="R2372" t="s">
        <v>3094</v>
      </c>
    </row>
    <row r="2373" spans="1:18" hidden="1" x14ac:dyDescent="0.3">
      <c r="A2373">
        <v>466</v>
      </c>
      <c r="B2373" t="s">
        <v>1312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106.55</v>
      </c>
      <c r="L2373" s="39">
        <f t="shared" si="151"/>
        <v>1.0654999999999999</v>
      </c>
      <c r="M2373" s="39">
        <f t="shared" si="152"/>
        <v>1.0654999999999999</v>
      </c>
      <c r="N2373" t="s">
        <v>128</v>
      </c>
      <c r="O2373" t="s">
        <v>136</v>
      </c>
      <c r="P2373">
        <v>1</v>
      </c>
      <c r="Q2373">
        <v>1</v>
      </c>
      <c r="R2373" t="s">
        <v>1314</v>
      </c>
    </row>
    <row r="2374" spans="1:18" hidden="1" x14ac:dyDescent="0.3">
      <c r="A2374">
        <v>467</v>
      </c>
      <c r="B2374" t="s">
        <v>1315</v>
      </c>
      <c r="C2374" t="s">
        <v>653</v>
      </c>
      <c r="D2374" t="s">
        <v>27</v>
      </c>
      <c r="E2374" t="s">
        <v>22</v>
      </c>
      <c r="F2374" s="79">
        <v>45473</v>
      </c>
      <c r="G2374">
        <v>2024</v>
      </c>
      <c r="H2374" t="s">
        <v>699</v>
      </c>
      <c r="I2374" t="s">
        <v>729</v>
      </c>
      <c r="J2374">
        <v>100</v>
      </c>
      <c r="K2374">
        <v>121.25</v>
      </c>
      <c r="L2374" s="39">
        <f t="shared" si="151"/>
        <v>1.2124999999999999</v>
      </c>
      <c r="M2374" s="39">
        <f t="shared" si="152"/>
        <v>1.2124999999999999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467</v>
      </c>
      <c r="B2375" t="s">
        <v>1315</v>
      </c>
      <c r="C2375" t="s">
        <v>653</v>
      </c>
      <c r="D2375" t="s">
        <v>27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100</v>
      </c>
      <c r="K2375">
        <v>121.83</v>
      </c>
      <c r="L2375" s="39">
        <f t="shared" si="151"/>
        <v>1.2182999999999999</v>
      </c>
      <c r="M2375" s="39">
        <f t="shared" si="152"/>
        <v>1.2182999999999999</v>
      </c>
      <c r="N2375" t="s">
        <v>128</v>
      </c>
      <c r="O2375" t="s">
        <v>136</v>
      </c>
      <c r="P2375">
        <v>0</v>
      </c>
      <c r="Q2375">
        <v>1</v>
      </c>
      <c r="R2375" t="s">
        <v>1316</v>
      </c>
    </row>
    <row r="2376" spans="1:18" hidden="1" x14ac:dyDescent="0.3">
      <c r="A2376">
        <v>467</v>
      </c>
      <c r="B2376" t="s">
        <v>1315</v>
      </c>
      <c r="C2376" t="s">
        <v>653</v>
      </c>
      <c r="D2376" t="s">
        <v>27</v>
      </c>
      <c r="E2376" t="s">
        <v>22</v>
      </c>
      <c r="F2376" s="79">
        <v>45838</v>
      </c>
      <c r="G2376">
        <v>2025</v>
      </c>
      <c r="H2376" t="s">
        <v>699</v>
      </c>
      <c r="I2376" t="s">
        <v>700</v>
      </c>
      <c r="J2376">
        <v>100</v>
      </c>
      <c r="K2376">
        <v>118</v>
      </c>
      <c r="L2376" s="39">
        <f t="shared" si="151"/>
        <v>1.18</v>
      </c>
      <c r="M2376" s="39">
        <f t="shared" si="152"/>
        <v>1.18</v>
      </c>
      <c r="N2376" t="s">
        <v>128</v>
      </c>
      <c r="O2376" t="s">
        <v>136</v>
      </c>
      <c r="P2376">
        <v>0</v>
      </c>
      <c r="Q2376">
        <v>1</v>
      </c>
      <c r="R2376" t="s">
        <v>3096</v>
      </c>
    </row>
    <row r="2377" spans="1:18" hidden="1" x14ac:dyDescent="0.3">
      <c r="A2377">
        <v>467</v>
      </c>
      <c r="B2377" t="s">
        <v>1315</v>
      </c>
      <c r="C2377" t="s">
        <v>653</v>
      </c>
      <c r="D2377" t="s">
        <v>21</v>
      </c>
      <c r="E2377" t="s">
        <v>22</v>
      </c>
      <c r="F2377" s="79">
        <v>46022</v>
      </c>
      <c r="G2377">
        <v>2025</v>
      </c>
      <c r="H2377" t="s">
        <v>23</v>
      </c>
      <c r="I2377" t="s">
        <v>32</v>
      </c>
      <c r="J2377">
        <v>100</v>
      </c>
      <c r="K2377">
        <v>99.5</v>
      </c>
      <c r="L2377" s="39">
        <f t="shared" si="151"/>
        <v>0.995</v>
      </c>
      <c r="M2377" s="39">
        <f t="shared" si="152"/>
        <v>0.995</v>
      </c>
      <c r="N2377" t="s">
        <v>128</v>
      </c>
      <c r="O2377" t="s">
        <v>136</v>
      </c>
      <c r="P2377">
        <v>0</v>
      </c>
      <c r="Q2377">
        <v>1</v>
      </c>
      <c r="R2377" t="s">
        <v>1317</v>
      </c>
    </row>
    <row r="2378" spans="1:18" hidden="1" x14ac:dyDescent="0.3">
      <c r="A2378">
        <v>468</v>
      </c>
      <c r="B2378" t="s">
        <v>1318</v>
      </c>
      <c r="C2378" t="s">
        <v>653</v>
      </c>
      <c r="D2378" t="s">
        <v>27</v>
      </c>
      <c r="E2378" t="s">
        <v>41</v>
      </c>
      <c r="F2378" s="79">
        <v>45473</v>
      </c>
      <c r="G2378">
        <v>2024</v>
      </c>
      <c r="H2378" t="s">
        <v>699</v>
      </c>
      <c r="I2378" t="s">
        <v>729</v>
      </c>
      <c r="J2378">
        <v>3</v>
      </c>
      <c r="K2378">
        <v>2.85</v>
      </c>
      <c r="L2378" s="39">
        <f t="shared" si="151"/>
        <v>1.0526315789473684</v>
      </c>
      <c r="M2378" s="39">
        <f t="shared" si="152"/>
        <v>1.0526315789473684</v>
      </c>
      <c r="N2378" t="s">
        <v>128</v>
      </c>
      <c r="O2378" t="s">
        <v>136</v>
      </c>
      <c r="P2378">
        <v>0</v>
      </c>
      <c r="Q2378">
        <v>1</v>
      </c>
      <c r="R2378" t="s">
        <v>3097</v>
      </c>
    </row>
    <row r="2379" spans="1:18" hidden="1" x14ac:dyDescent="0.3">
      <c r="A2379">
        <v>468</v>
      </c>
      <c r="B2379" t="s">
        <v>1318</v>
      </c>
      <c r="C2379" t="s">
        <v>653</v>
      </c>
      <c r="D2379" t="s">
        <v>27</v>
      </c>
      <c r="E2379" t="s">
        <v>41</v>
      </c>
      <c r="F2379" s="79">
        <v>45657</v>
      </c>
      <c r="G2379">
        <v>2024</v>
      </c>
      <c r="H2379" t="s">
        <v>23</v>
      </c>
      <c r="I2379" t="s">
        <v>30</v>
      </c>
      <c r="J2379">
        <v>3</v>
      </c>
      <c r="K2379">
        <v>2.6</v>
      </c>
      <c r="L2379" s="39">
        <f t="shared" si="151"/>
        <v>1.1538461538461537</v>
      </c>
      <c r="M2379" s="39">
        <f t="shared" si="152"/>
        <v>1.1538461538461537</v>
      </c>
      <c r="N2379" t="s">
        <v>128</v>
      </c>
      <c r="O2379" t="s">
        <v>136</v>
      </c>
      <c r="P2379">
        <v>0</v>
      </c>
      <c r="Q2379">
        <v>1</v>
      </c>
      <c r="R2379" t="s">
        <v>1319</v>
      </c>
    </row>
    <row r="2380" spans="1:18" hidden="1" x14ac:dyDescent="0.3">
      <c r="A2380">
        <v>468</v>
      </c>
      <c r="B2380" t="s">
        <v>1318</v>
      </c>
      <c r="C2380" t="s">
        <v>653</v>
      </c>
      <c r="D2380" t="s">
        <v>27</v>
      </c>
      <c r="E2380" t="s">
        <v>41</v>
      </c>
      <c r="F2380" s="79">
        <v>45838</v>
      </c>
      <c r="G2380">
        <v>2025</v>
      </c>
      <c r="H2380" t="s">
        <v>699</v>
      </c>
      <c r="I2380" t="s">
        <v>700</v>
      </c>
      <c r="J2380">
        <v>2.5</v>
      </c>
      <c r="K2380">
        <v>2.4</v>
      </c>
      <c r="L2380" s="39">
        <f t="shared" si="151"/>
        <v>1.0416666666666667</v>
      </c>
      <c r="M2380" s="39">
        <f t="shared" si="152"/>
        <v>1.0416666666666667</v>
      </c>
      <c r="N2380" t="s">
        <v>136</v>
      </c>
      <c r="O2380" t="s">
        <v>136</v>
      </c>
      <c r="P2380">
        <v>1</v>
      </c>
      <c r="Q2380">
        <v>1</v>
      </c>
      <c r="R2380" t="s">
        <v>3098</v>
      </c>
    </row>
    <row r="2381" spans="1:18" hidden="1" x14ac:dyDescent="0.3">
      <c r="A2381">
        <v>468</v>
      </c>
      <c r="B2381" t="s">
        <v>1318</v>
      </c>
      <c r="C2381" t="s">
        <v>653</v>
      </c>
      <c r="D2381" t="s">
        <v>21</v>
      </c>
      <c r="E2381" t="s">
        <v>41</v>
      </c>
      <c r="F2381" s="79">
        <v>46022</v>
      </c>
      <c r="G2381">
        <v>2025</v>
      </c>
      <c r="H2381" t="s">
        <v>23</v>
      </c>
      <c r="I2381" t="s">
        <v>32</v>
      </c>
      <c r="J2381">
        <v>2.5</v>
      </c>
      <c r="K2381">
        <v>2.1</v>
      </c>
      <c r="L2381" s="39">
        <f t="shared" si="151"/>
        <v>1.1904761904761905</v>
      </c>
      <c r="M2381" s="39">
        <f t="shared" si="152"/>
        <v>1.1904761904761905</v>
      </c>
      <c r="N2381" t="s">
        <v>136</v>
      </c>
      <c r="O2381" t="s">
        <v>136</v>
      </c>
      <c r="P2381">
        <v>1</v>
      </c>
      <c r="Q2381">
        <v>1</v>
      </c>
      <c r="R2381" t="s">
        <v>1320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21</v>
      </c>
      <c r="E2382" t="s">
        <v>22</v>
      </c>
      <c r="F2382" s="79">
        <v>45382</v>
      </c>
      <c r="G2382">
        <v>2024</v>
      </c>
      <c r="H2382" t="s">
        <v>1516</v>
      </c>
      <c r="I2382" t="s">
        <v>729</v>
      </c>
      <c r="J2382">
        <v>100</v>
      </c>
      <c r="K2382">
        <v>195.07</v>
      </c>
      <c r="L2382" s="39">
        <f t="shared" ref="L2382:L2405" si="153">IFERROR(IF(OR(J2382=0,K2382=""),"",IF(E2382="Positivo",MIN(MAX(K2382/J2382,0),1),MIN(MAX(J2382/K2382,0),1))),"")</f>
        <v>1</v>
      </c>
      <c r="M2382" s="39">
        <f t="shared" si="152"/>
        <v>1.9506999999999999</v>
      </c>
      <c r="N2382" t="s">
        <v>25</v>
      </c>
      <c r="O2382" t="s">
        <v>25</v>
      </c>
      <c r="P2382">
        <v>1</v>
      </c>
      <c r="Q2382">
        <v>1</v>
      </c>
      <c r="R2382" t="s">
        <v>3099</v>
      </c>
    </row>
    <row r="2383" spans="1:18" hidden="1" x14ac:dyDescent="0.3">
      <c r="A2383">
        <v>469</v>
      </c>
      <c r="B2383" t="s">
        <v>1176</v>
      </c>
      <c r="C2383" t="s">
        <v>3100</v>
      </c>
      <c r="D2383" t="s">
        <v>21</v>
      </c>
      <c r="E2383" t="s">
        <v>22</v>
      </c>
      <c r="F2383" s="79">
        <v>45473</v>
      </c>
      <c r="G2383">
        <v>2024</v>
      </c>
      <c r="H2383" t="s">
        <v>699</v>
      </c>
      <c r="I2383" t="s">
        <v>729</v>
      </c>
      <c r="J2383">
        <v>100</v>
      </c>
      <c r="K2383">
        <v>114.33</v>
      </c>
      <c r="L2383" s="39">
        <f t="shared" si="153"/>
        <v>1</v>
      </c>
      <c r="M2383" s="39">
        <f t="shared" si="152"/>
        <v>1.1433</v>
      </c>
      <c r="N2383" t="s">
        <v>25</v>
      </c>
      <c r="O2383" t="s">
        <v>25</v>
      </c>
      <c r="P2383">
        <v>0</v>
      </c>
      <c r="Q2383">
        <v>0</v>
      </c>
      <c r="R2383" t="s">
        <v>3101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21</v>
      </c>
      <c r="E2384" t="s">
        <v>22</v>
      </c>
      <c r="F2384" s="79">
        <v>45565</v>
      </c>
      <c r="G2384">
        <v>2024</v>
      </c>
      <c r="H2384" t="s">
        <v>162</v>
      </c>
      <c r="I2384" t="s">
        <v>30</v>
      </c>
      <c r="J2384">
        <v>100</v>
      </c>
      <c r="K2384">
        <v>94.86</v>
      </c>
      <c r="L2384" s="39">
        <f t="shared" si="153"/>
        <v>0.9486</v>
      </c>
      <c r="M2384" s="39">
        <f t="shared" si="152"/>
        <v>0.9486</v>
      </c>
      <c r="N2384" t="s">
        <v>25</v>
      </c>
      <c r="O2384" t="s">
        <v>25</v>
      </c>
      <c r="P2384">
        <v>0</v>
      </c>
      <c r="Q2384">
        <v>0</v>
      </c>
      <c r="R2384" t="s">
        <v>3102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21</v>
      </c>
      <c r="E2385" t="s">
        <v>22</v>
      </c>
      <c r="F2385" s="79">
        <v>45657</v>
      </c>
      <c r="G2385">
        <v>2024</v>
      </c>
      <c r="H2385" t="s">
        <v>23</v>
      </c>
      <c r="I2385" t="s">
        <v>30</v>
      </c>
      <c r="J2385">
        <v>100</v>
      </c>
      <c r="K2385">
        <v>99.7</v>
      </c>
      <c r="L2385" s="39">
        <f t="shared" si="153"/>
        <v>0.997</v>
      </c>
      <c r="M2385" s="39">
        <f t="shared" si="152"/>
        <v>0.997</v>
      </c>
      <c r="N2385" t="s">
        <v>25</v>
      </c>
      <c r="O2385" t="s">
        <v>25</v>
      </c>
      <c r="P2385">
        <v>0</v>
      </c>
      <c r="Q2385">
        <v>0</v>
      </c>
      <c r="R2385" t="s">
        <v>1321</v>
      </c>
    </row>
    <row r="2386" spans="1:18" hidden="1" x14ac:dyDescent="0.3">
      <c r="A2386">
        <v>469</v>
      </c>
      <c r="B2386" t="s">
        <v>1176</v>
      </c>
      <c r="C2386" t="s">
        <v>567</v>
      </c>
      <c r="D2386" t="s">
        <v>27</v>
      </c>
      <c r="E2386" t="s">
        <v>22</v>
      </c>
      <c r="F2386" s="79">
        <v>45747</v>
      </c>
      <c r="G2386">
        <v>2025</v>
      </c>
      <c r="H2386" t="s">
        <v>1516</v>
      </c>
      <c r="I2386" t="s">
        <v>700</v>
      </c>
      <c r="J2386">
        <v>100</v>
      </c>
      <c r="K2386">
        <v>118.03</v>
      </c>
      <c r="L2386" s="39">
        <f t="shared" si="153"/>
        <v>1</v>
      </c>
      <c r="M2386" s="39">
        <f t="shared" si="152"/>
        <v>1.1802999999999999</v>
      </c>
      <c r="N2386" t="s">
        <v>25</v>
      </c>
      <c r="O2386" t="s">
        <v>25</v>
      </c>
      <c r="P2386">
        <v>0</v>
      </c>
      <c r="Q2386">
        <v>0</v>
      </c>
      <c r="R2386" t="s">
        <v>3103</v>
      </c>
    </row>
    <row r="2387" spans="1:18" hidden="1" x14ac:dyDescent="0.3">
      <c r="A2387">
        <v>469</v>
      </c>
      <c r="B2387" t="s">
        <v>1176</v>
      </c>
      <c r="C2387" t="s">
        <v>567</v>
      </c>
      <c r="D2387" t="s">
        <v>27</v>
      </c>
      <c r="E2387" t="s">
        <v>22</v>
      </c>
      <c r="F2387" s="79">
        <v>45838</v>
      </c>
      <c r="G2387">
        <v>2025</v>
      </c>
      <c r="H2387" t="s">
        <v>699</v>
      </c>
      <c r="I2387" t="s">
        <v>700</v>
      </c>
      <c r="J2387">
        <v>100</v>
      </c>
      <c r="K2387">
        <v>103.52</v>
      </c>
      <c r="L2387" s="39">
        <f t="shared" si="153"/>
        <v>1</v>
      </c>
      <c r="M2387" s="39">
        <f t="shared" si="152"/>
        <v>1.0351999999999999</v>
      </c>
      <c r="N2387" t="s">
        <v>25</v>
      </c>
      <c r="O2387" t="s">
        <v>25</v>
      </c>
      <c r="P2387">
        <v>0</v>
      </c>
      <c r="Q2387">
        <v>0</v>
      </c>
      <c r="R2387" t="s">
        <v>3104</v>
      </c>
    </row>
    <row r="2388" spans="1:18" hidden="1" x14ac:dyDescent="0.3">
      <c r="A2388">
        <v>469</v>
      </c>
      <c r="B2388" t="s">
        <v>1176</v>
      </c>
      <c r="C2388" t="s">
        <v>567</v>
      </c>
      <c r="D2388" t="s">
        <v>27</v>
      </c>
      <c r="E2388" t="s">
        <v>22</v>
      </c>
      <c r="F2388" s="79">
        <v>45930</v>
      </c>
      <c r="G2388">
        <v>2025</v>
      </c>
      <c r="H2388" t="s">
        <v>162</v>
      </c>
      <c r="I2388" t="s">
        <v>32</v>
      </c>
      <c r="J2388">
        <v>100</v>
      </c>
      <c r="K2388">
        <v>92.65</v>
      </c>
      <c r="L2388" s="39">
        <f t="shared" si="153"/>
        <v>0.9265000000000001</v>
      </c>
      <c r="M2388" s="39">
        <f t="shared" si="152"/>
        <v>0.9265000000000001</v>
      </c>
      <c r="N2388" t="s">
        <v>25</v>
      </c>
      <c r="O2388" t="s">
        <v>25</v>
      </c>
      <c r="P2388">
        <v>0</v>
      </c>
      <c r="Q2388">
        <v>0</v>
      </c>
      <c r="R2388" t="s">
        <v>3105</v>
      </c>
    </row>
    <row r="2389" spans="1:18" hidden="1" x14ac:dyDescent="0.3">
      <c r="A2389">
        <v>469</v>
      </c>
      <c r="B2389" t="s">
        <v>1176</v>
      </c>
      <c r="C2389" t="s">
        <v>567</v>
      </c>
      <c r="D2389" t="s">
        <v>27</v>
      </c>
      <c r="E2389" t="s">
        <v>22</v>
      </c>
      <c r="F2389" s="79">
        <v>46022</v>
      </c>
      <c r="G2389">
        <v>2025</v>
      </c>
      <c r="H2389" t="s">
        <v>23</v>
      </c>
      <c r="I2389" t="s">
        <v>32</v>
      </c>
      <c r="J2389">
        <v>100</v>
      </c>
      <c r="K2389">
        <v>99.13</v>
      </c>
      <c r="L2389" s="39">
        <f t="shared" si="153"/>
        <v>0.99129999999999996</v>
      </c>
      <c r="M2389" s="39">
        <f t="shared" si="152"/>
        <v>0.99129999999999996</v>
      </c>
      <c r="N2389" t="s">
        <v>25</v>
      </c>
      <c r="O2389" t="s">
        <v>25</v>
      </c>
      <c r="P2389">
        <v>0</v>
      </c>
      <c r="Q2389">
        <v>0</v>
      </c>
      <c r="R2389" t="s">
        <v>1322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21</v>
      </c>
      <c r="E2390" t="s">
        <v>22</v>
      </c>
      <c r="F2390" s="79">
        <v>45382</v>
      </c>
      <c r="G2390">
        <v>2024</v>
      </c>
      <c r="H2390" t="s">
        <v>1516</v>
      </c>
      <c r="I2390" t="s">
        <v>729</v>
      </c>
      <c r="J2390">
        <v>100</v>
      </c>
      <c r="K2390">
        <v>79.599999999999994</v>
      </c>
      <c r="L2390" s="39">
        <f t="shared" si="153"/>
        <v>0.79599999999999993</v>
      </c>
      <c r="M2390" s="39">
        <f t="shared" si="152"/>
        <v>0.79599999999999993</v>
      </c>
      <c r="N2390" t="s">
        <v>25</v>
      </c>
      <c r="O2390" t="s">
        <v>25</v>
      </c>
      <c r="P2390">
        <v>0</v>
      </c>
      <c r="Q2390">
        <v>0</v>
      </c>
      <c r="R2390" t="s">
        <v>3106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21</v>
      </c>
      <c r="E2391" t="s">
        <v>22</v>
      </c>
      <c r="F2391" s="79">
        <v>45473</v>
      </c>
      <c r="G2391">
        <v>2024</v>
      </c>
      <c r="H2391" t="s">
        <v>699</v>
      </c>
      <c r="I2391" t="s">
        <v>729</v>
      </c>
      <c r="J2391">
        <v>100</v>
      </c>
      <c r="K2391">
        <v>118.1</v>
      </c>
      <c r="L2391" s="39">
        <f t="shared" si="153"/>
        <v>1</v>
      </c>
      <c r="M2391" s="39">
        <f t="shared" si="152"/>
        <v>1.181</v>
      </c>
      <c r="N2391" t="s">
        <v>25</v>
      </c>
      <c r="O2391" t="s">
        <v>25</v>
      </c>
      <c r="P2391">
        <v>0</v>
      </c>
      <c r="Q2391">
        <v>0</v>
      </c>
      <c r="R2391" t="s">
        <v>3107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21</v>
      </c>
      <c r="E2392" t="s">
        <v>22</v>
      </c>
      <c r="F2392" s="79">
        <v>45565</v>
      </c>
      <c r="G2392">
        <v>2024</v>
      </c>
      <c r="H2392" t="s">
        <v>162</v>
      </c>
      <c r="I2392" t="s">
        <v>30</v>
      </c>
      <c r="J2392">
        <v>100</v>
      </c>
      <c r="K2392">
        <v>104.86</v>
      </c>
      <c r="L2392" s="39">
        <f t="shared" si="153"/>
        <v>1</v>
      </c>
      <c r="M2392" s="39">
        <f t="shared" si="152"/>
        <v>1.0486</v>
      </c>
      <c r="N2392" t="s">
        <v>25</v>
      </c>
      <c r="O2392" t="s">
        <v>25</v>
      </c>
      <c r="P2392">
        <v>0</v>
      </c>
      <c r="Q2392">
        <v>0</v>
      </c>
      <c r="R2392" t="s">
        <v>3108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21</v>
      </c>
      <c r="E2393" t="s">
        <v>22</v>
      </c>
      <c r="F2393" s="79">
        <v>45657</v>
      </c>
      <c r="G2393">
        <v>2024</v>
      </c>
      <c r="H2393" t="s">
        <v>23</v>
      </c>
      <c r="I2393" t="s">
        <v>30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1324</v>
      </c>
    </row>
    <row r="2394" spans="1:18" hidden="1" x14ac:dyDescent="0.3">
      <c r="A2394">
        <v>470</v>
      </c>
      <c r="B2394" t="s">
        <v>1323</v>
      </c>
      <c r="C2394" t="s">
        <v>567</v>
      </c>
      <c r="D2394" t="s">
        <v>27</v>
      </c>
      <c r="E2394" t="s">
        <v>22</v>
      </c>
      <c r="F2394" s="79">
        <v>45747</v>
      </c>
      <c r="G2394">
        <v>2025</v>
      </c>
      <c r="H2394" t="s">
        <v>1516</v>
      </c>
      <c r="I2394" t="s">
        <v>700</v>
      </c>
      <c r="J2394">
        <v>100</v>
      </c>
      <c r="K2394">
        <v>352.81</v>
      </c>
      <c r="L2394" s="39">
        <f t="shared" si="153"/>
        <v>1</v>
      </c>
      <c r="M2394" s="39">
        <f t="shared" si="152"/>
        <v>3.5281000000000002</v>
      </c>
      <c r="N2394" t="s">
        <v>25</v>
      </c>
      <c r="O2394" t="s">
        <v>25</v>
      </c>
      <c r="P2394">
        <v>0</v>
      </c>
      <c r="Q2394">
        <v>0</v>
      </c>
      <c r="R2394" t="s">
        <v>3109</v>
      </c>
    </row>
    <row r="2395" spans="1:18" hidden="1" x14ac:dyDescent="0.3">
      <c r="A2395">
        <v>470</v>
      </c>
      <c r="B2395" t="s">
        <v>1323</v>
      </c>
      <c r="C2395" t="s">
        <v>567</v>
      </c>
      <c r="D2395" t="s">
        <v>27</v>
      </c>
      <c r="E2395" t="s">
        <v>22</v>
      </c>
      <c r="F2395" s="79">
        <v>45838</v>
      </c>
      <c r="G2395">
        <v>2025</v>
      </c>
      <c r="H2395" t="s">
        <v>699</v>
      </c>
      <c r="I2395" t="s">
        <v>700</v>
      </c>
      <c r="J2395">
        <v>100</v>
      </c>
      <c r="K2395">
        <v>148.38</v>
      </c>
      <c r="L2395" s="39">
        <f t="shared" si="153"/>
        <v>1</v>
      </c>
      <c r="M2395" s="39">
        <f t="shared" si="152"/>
        <v>1.4838</v>
      </c>
      <c r="N2395" t="s">
        <v>25</v>
      </c>
      <c r="O2395" t="s">
        <v>25</v>
      </c>
      <c r="P2395">
        <v>0</v>
      </c>
      <c r="Q2395">
        <v>0</v>
      </c>
      <c r="R2395" t="s">
        <v>3110</v>
      </c>
    </row>
    <row r="2396" spans="1:18" hidden="1" x14ac:dyDescent="0.3">
      <c r="A2396">
        <v>470</v>
      </c>
      <c r="B2396" t="s">
        <v>1323</v>
      </c>
      <c r="C2396" t="s">
        <v>567</v>
      </c>
      <c r="D2396" t="s">
        <v>27</v>
      </c>
      <c r="E2396" t="s">
        <v>22</v>
      </c>
      <c r="F2396" s="79">
        <v>45930</v>
      </c>
      <c r="G2396">
        <v>2025</v>
      </c>
      <c r="H2396" t="s">
        <v>162</v>
      </c>
      <c r="I2396" t="s">
        <v>32</v>
      </c>
      <c r="J2396">
        <v>100</v>
      </c>
      <c r="K2396">
        <v>105.6</v>
      </c>
      <c r="L2396" s="39">
        <f t="shared" si="153"/>
        <v>1</v>
      </c>
      <c r="M2396" s="39">
        <f t="shared" si="152"/>
        <v>1.056</v>
      </c>
      <c r="N2396" t="s">
        <v>25</v>
      </c>
      <c r="O2396" t="s">
        <v>25</v>
      </c>
      <c r="P2396">
        <v>0</v>
      </c>
      <c r="Q2396">
        <v>0</v>
      </c>
      <c r="R2396" t="s">
        <v>3111</v>
      </c>
    </row>
    <row r="2397" spans="1:18" hidden="1" x14ac:dyDescent="0.3">
      <c r="A2397">
        <v>470</v>
      </c>
      <c r="B2397" t="s">
        <v>1323</v>
      </c>
      <c r="C2397" t="s">
        <v>567</v>
      </c>
      <c r="D2397" t="s">
        <v>27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100</v>
      </c>
      <c r="K2397">
        <v>100</v>
      </c>
      <c r="L2397" s="39">
        <f t="shared" si="153"/>
        <v>1</v>
      </c>
      <c r="M2397" s="39">
        <f t="shared" si="152"/>
        <v>1</v>
      </c>
      <c r="N2397" t="s">
        <v>25</v>
      </c>
      <c r="O2397" t="s">
        <v>25</v>
      </c>
      <c r="P2397">
        <v>0</v>
      </c>
      <c r="Q2397">
        <v>0</v>
      </c>
      <c r="R2397" t="s">
        <v>1325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21</v>
      </c>
      <c r="E2398" t="s">
        <v>22</v>
      </c>
      <c r="F2398" s="79">
        <v>45382</v>
      </c>
      <c r="G2398">
        <v>2024</v>
      </c>
      <c r="H2398" t="s">
        <v>1516</v>
      </c>
      <c r="I2398" t="s">
        <v>729</v>
      </c>
      <c r="J2398">
        <v>100</v>
      </c>
      <c r="K2398">
        <v>108.48</v>
      </c>
      <c r="L2398" s="39">
        <f t="shared" si="153"/>
        <v>1</v>
      </c>
      <c r="M2398" s="39">
        <f t="shared" si="152"/>
        <v>1.0848</v>
      </c>
      <c r="N2398" t="s">
        <v>25</v>
      </c>
      <c r="O2398" t="s">
        <v>25</v>
      </c>
      <c r="P2398">
        <v>0</v>
      </c>
      <c r="Q2398">
        <v>0</v>
      </c>
      <c r="R2398" t="s">
        <v>3112</v>
      </c>
    </row>
    <row r="2399" spans="1:18" hidden="1" x14ac:dyDescent="0.3">
      <c r="A2399">
        <v>471</v>
      </c>
      <c r="B2399" t="s">
        <v>1326</v>
      </c>
      <c r="C2399" t="s">
        <v>40</v>
      </c>
      <c r="D2399" t="s">
        <v>21</v>
      </c>
      <c r="E2399" t="s">
        <v>22</v>
      </c>
      <c r="F2399" s="79">
        <v>45473</v>
      </c>
      <c r="G2399">
        <v>2024</v>
      </c>
      <c r="H2399" t="s">
        <v>699</v>
      </c>
      <c r="I2399" t="s">
        <v>729</v>
      </c>
      <c r="J2399">
        <v>100</v>
      </c>
      <c r="K2399">
        <v>105.56</v>
      </c>
      <c r="L2399" s="39">
        <f t="shared" si="153"/>
        <v>1</v>
      </c>
      <c r="M2399" s="39">
        <f t="shared" si="152"/>
        <v>1.0556000000000001</v>
      </c>
      <c r="N2399" t="s">
        <v>25</v>
      </c>
      <c r="O2399" t="s">
        <v>25</v>
      </c>
      <c r="P2399">
        <v>0</v>
      </c>
      <c r="Q2399">
        <v>0</v>
      </c>
      <c r="R2399" t="s">
        <v>3113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21</v>
      </c>
      <c r="E2400" t="s">
        <v>22</v>
      </c>
      <c r="F2400" s="79">
        <v>45565</v>
      </c>
      <c r="G2400">
        <v>2024</v>
      </c>
      <c r="H2400" t="s">
        <v>162</v>
      </c>
      <c r="I2400" t="s">
        <v>30</v>
      </c>
      <c r="J2400">
        <v>100</v>
      </c>
      <c r="K2400">
        <v>91.07</v>
      </c>
      <c r="L2400" s="39">
        <f t="shared" si="153"/>
        <v>0.91069999999999995</v>
      </c>
      <c r="M2400" s="39">
        <f t="shared" si="152"/>
        <v>0.91069999999999995</v>
      </c>
      <c r="N2400" t="s">
        <v>25</v>
      </c>
      <c r="O2400" t="s">
        <v>25</v>
      </c>
      <c r="P2400">
        <v>0</v>
      </c>
      <c r="Q2400">
        <v>0</v>
      </c>
      <c r="R2400" t="s">
        <v>3114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21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99</v>
      </c>
      <c r="L2401" s="39">
        <f t="shared" si="153"/>
        <v>0.99</v>
      </c>
      <c r="M2401" s="39">
        <f t="shared" si="152"/>
        <v>0.99</v>
      </c>
      <c r="N2401" t="s">
        <v>25</v>
      </c>
      <c r="O2401" t="s">
        <v>25</v>
      </c>
      <c r="P2401">
        <v>0</v>
      </c>
      <c r="Q2401">
        <v>0</v>
      </c>
      <c r="R2401" t="s">
        <v>1327</v>
      </c>
    </row>
    <row r="2402" spans="1:19" hidden="1" x14ac:dyDescent="0.3">
      <c r="A2402">
        <v>471</v>
      </c>
      <c r="B2402" t="s">
        <v>1326</v>
      </c>
      <c r="C2402" t="s">
        <v>567</v>
      </c>
      <c r="D2402" t="s">
        <v>27</v>
      </c>
      <c r="E2402" t="s">
        <v>22</v>
      </c>
      <c r="F2402" s="79">
        <v>45747</v>
      </c>
      <c r="G2402">
        <v>2025</v>
      </c>
      <c r="H2402" t="s">
        <v>1516</v>
      </c>
      <c r="I2402" t="s">
        <v>700</v>
      </c>
      <c r="J2402">
        <v>100</v>
      </c>
      <c r="K2402">
        <v>103.51</v>
      </c>
      <c r="L2402" s="39">
        <f t="shared" si="153"/>
        <v>1</v>
      </c>
      <c r="M2402" s="39">
        <f t="shared" si="152"/>
        <v>1.0351000000000001</v>
      </c>
      <c r="N2402" t="s">
        <v>25</v>
      </c>
      <c r="O2402" t="s">
        <v>25</v>
      </c>
      <c r="P2402">
        <v>0</v>
      </c>
      <c r="Q2402">
        <v>0</v>
      </c>
      <c r="R2402" t="s">
        <v>3115</v>
      </c>
    </row>
    <row r="2403" spans="1:19" hidden="1" x14ac:dyDescent="0.3">
      <c r="A2403">
        <v>471</v>
      </c>
      <c r="B2403" t="s">
        <v>1326</v>
      </c>
      <c r="C2403" t="s">
        <v>567</v>
      </c>
      <c r="D2403" t="s">
        <v>27</v>
      </c>
      <c r="E2403" t="s">
        <v>22</v>
      </c>
      <c r="F2403" s="79">
        <v>45838</v>
      </c>
      <c r="G2403">
        <v>2025</v>
      </c>
      <c r="H2403" t="s">
        <v>699</v>
      </c>
      <c r="I2403" t="s">
        <v>700</v>
      </c>
      <c r="J2403">
        <v>100</v>
      </c>
      <c r="K2403">
        <v>94.02</v>
      </c>
      <c r="L2403" s="39">
        <f t="shared" si="153"/>
        <v>0.94019999999999992</v>
      </c>
      <c r="M2403" s="39">
        <f t="shared" ref="M2403:M2412" si="154">IFERROR(IF(OR(J2403=0,K2403=""),"",IF(E2403="Positivo",MAX(K2403/J2403,0),MAX(J2403/K2403,0))),"")</f>
        <v>0.94019999999999992</v>
      </c>
      <c r="N2403" t="s">
        <v>25</v>
      </c>
      <c r="O2403" t="s">
        <v>25</v>
      </c>
      <c r="P2403">
        <v>0</v>
      </c>
      <c r="Q2403">
        <v>0</v>
      </c>
      <c r="R2403" t="s">
        <v>3116</v>
      </c>
    </row>
    <row r="2404" spans="1:19" hidden="1" x14ac:dyDescent="0.3">
      <c r="A2404">
        <v>471</v>
      </c>
      <c r="B2404" t="s">
        <v>1326</v>
      </c>
      <c r="C2404" t="s">
        <v>567</v>
      </c>
      <c r="D2404" t="s">
        <v>27</v>
      </c>
      <c r="E2404" t="s">
        <v>22</v>
      </c>
      <c r="F2404" s="79">
        <v>45930</v>
      </c>
      <c r="G2404">
        <v>2025</v>
      </c>
      <c r="H2404" t="s">
        <v>162</v>
      </c>
      <c r="I2404" t="s">
        <v>32</v>
      </c>
      <c r="J2404">
        <v>100</v>
      </c>
      <c r="K2404">
        <v>98.93</v>
      </c>
      <c r="L2404" s="39">
        <f t="shared" si="153"/>
        <v>0.98930000000000007</v>
      </c>
      <c r="M2404" s="39">
        <f t="shared" si="154"/>
        <v>0.98930000000000007</v>
      </c>
      <c r="N2404" t="s">
        <v>25</v>
      </c>
      <c r="O2404" t="s">
        <v>25</v>
      </c>
      <c r="P2404">
        <v>0</v>
      </c>
      <c r="Q2404">
        <v>0</v>
      </c>
      <c r="R2404" t="s">
        <v>3117</v>
      </c>
    </row>
    <row r="2405" spans="1:19" hidden="1" x14ac:dyDescent="0.3">
      <c r="A2405">
        <v>471</v>
      </c>
      <c r="B2405" t="s">
        <v>1326</v>
      </c>
      <c r="C2405" t="s">
        <v>567</v>
      </c>
      <c r="D2405" t="s">
        <v>27</v>
      </c>
      <c r="E2405" t="s">
        <v>22</v>
      </c>
      <c r="F2405" s="79">
        <v>46022</v>
      </c>
      <c r="G2405">
        <v>2025</v>
      </c>
      <c r="H2405" t="s">
        <v>23</v>
      </c>
      <c r="I2405" t="s">
        <v>32</v>
      </c>
      <c r="J2405">
        <v>100</v>
      </c>
      <c r="K2405">
        <v>99.86</v>
      </c>
      <c r="L2405" s="39">
        <f t="shared" si="153"/>
        <v>0.99860000000000004</v>
      </c>
      <c r="M2405" s="39">
        <f t="shared" si="154"/>
        <v>0.99860000000000004</v>
      </c>
      <c r="N2405" t="s">
        <v>25</v>
      </c>
      <c r="O2405" t="s">
        <v>25</v>
      </c>
      <c r="P2405">
        <v>0</v>
      </c>
      <c r="Q2405">
        <v>0</v>
      </c>
      <c r="R2405" t="s">
        <v>1328</v>
      </c>
    </row>
    <row r="2406" spans="1:19" hidden="1" x14ac:dyDescent="0.3">
      <c r="A2406">
        <v>472</v>
      </c>
      <c r="B2406" t="s">
        <v>1329</v>
      </c>
      <c r="C2406" t="s">
        <v>922</v>
      </c>
      <c r="D2406" t="s">
        <v>27</v>
      </c>
      <c r="E2406" t="s">
        <v>22</v>
      </c>
      <c r="F2406" s="79">
        <v>45473</v>
      </c>
      <c r="G2406">
        <v>2024</v>
      </c>
      <c r="H2406" t="s">
        <v>699</v>
      </c>
      <c r="I2406" t="s">
        <v>729</v>
      </c>
      <c r="J2406">
        <v>100</v>
      </c>
      <c r="K2406">
        <v>82.1</v>
      </c>
      <c r="L2406" s="39">
        <f t="shared" ref="L2406:L2412" si="155">IFERROR(IF(OR(J2406=0,K2406=""),"",IF(E2406="Positivo",MIN(MAX(K2406/J2406,0),1.3),MIN(MAX(J2406/K2406,0),1.3))),"")</f>
        <v>0.82099999999999995</v>
      </c>
      <c r="M2406" s="39">
        <f t="shared" si="154"/>
        <v>0.82099999999999995</v>
      </c>
      <c r="N2406" t="s">
        <v>25</v>
      </c>
      <c r="O2406" t="s">
        <v>25</v>
      </c>
      <c r="P2406">
        <v>0</v>
      </c>
      <c r="Q2406">
        <v>0</v>
      </c>
      <c r="R2406" t="s">
        <v>3118</v>
      </c>
    </row>
    <row r="2407" spans="1:19" hidden="1" x14ac:dyDescent="0.3">
      <c r="A2407">
        <v>472</v>
      </c>
      <c r="B2407" t="s">
        <v>1329</v>
      </c>
      <c r="C2407" t="s">
        <v>922</v>
      </c>
      <c r="D2407" t="s">
        <v>27</v>
      </c>
      <c r="E2407" t="s">
        <v>22</v>
      </c>
      <c r="F2407" s="79">
        <v>45657</v>
      </c>
      <c r="G2407">
        <v>2024</v>
      </c>
      <c r="H2407" t="s">
        <v>23</v>
      </c>
      <c r="I2407" t="s">
        <v>30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25</v>
      </c>
      <c r="O2407" t="s">
        <v>25</v>
      </c>
      <c r="P2407">
        <v>0</v>
      </c>
      <c r="Q2407">
        <v>0</v>
      </c>
      <c r="R2407" t="s">
        <v>1330</v>
      </c>
    </row>
    <row r="2408" spans="1:19" hidden="1" x14ac:dyDescent="0.3">
      <c r="A2408">
        <v>473</v>
      </c>
      <c r="B2408" t="s">
        <v>3119</v>
      </c>
      <c r="C2408" t="s">
        <v>549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3120</v>
      </c>
    </row>
    <row r="2409" spans="1:19" hidden="1" x14ac:dyDescent="0.3">
      <c r="A2409">
        <v>473</v>
      </c>
      <c r="B2409" t="s">
        <v>1331</v>
      </c>
      <c r="C2409" t="s">
        <v>549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100</v>
      </c>
      <c r="L2409" s="39">
        <f t="shared" si="155"/>
        <v>1</v>
      </c>
      <c r="M2409" s="39">
        <f t="shared" si="154"/>
        <v>1</v>
      </c>
      <c r="N2409" t="s">
        <v>128</v>
      </c>
      <c r="O2409" t="s">
        <v>128</v>
      </c>
      <c r="P2409">
        <v>0</v>
      </c>
      <c r="Q2409">
        <v>0</v>
      </c>
      <c r="R2409" t="s">
        <v>1332</v>
      </c>
    </row>
    <row r="2410" spans="1:19" hidden="1" x14ac:dyDescent="0.3">
      <c r="A2410">
        <v>473</v>
      </c>
      <c r="B2410" t="s">
        <v>1331</v>
      </c>
      <c r="C2410" t="s">
        <v>549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100</v>
      </c>
      <c r="L2410" s="39">
        <f t="shared" si="155"/>
        <v>1</v>
      </c>
      <c r="M2410" s="39">
        <f t="shared" si="154"/>
        <v>1</v>
      </c>
      <c r="N2410" t="s">
        <v>128</v>
      </c>
      <c r="O2410" t="s">
        <v>128</v>
      </c>
      <c r="P2410">
        <v>0</v>
      </c>
      <c r="Q2410">
        <v>0</v>
      </c>
      <c r="R2410" t="s">
        <v>1333</v>
      </c>
    </row>
    <row r="2411" spans="1:19" hidden="1" x14ac:dyDescent="0.3">
      <c r="A2411">
        <v>474</v>
      </c>
      <c r="B2411" t="s">
        <v>3121</v>
      </c>
      <c r="C2411" t="s">
        <v>1059</v>
      </c>
      <c r="D2411" t="s">
        <v>27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J2411">
        <v>100</v>
      </c>
      <c r="K2411">
        <v>100</v>
      </c>
      <c r="L2411" s="39">
        <f t="shared" si="155"/>
        <v>1</v>
      </c>
      <c r="M2411" s="39">
        <f t="shared" si="154"/>
        <v>1</v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474</v>
      </c>
      <c r="B2412" t="s">
        <v>1334</v>
      </c>
      <c r="C2412" t="s">
        <v>1059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100</v>
      </c>
      <c r="K2412">
        <v>100</v>
      </c>
      <c r="L2412" s="39">
        <f t="shared" si="155"/>
        <v>1</v>
      </c>
      <c r="M2412" s="39">
        <f t="shared" si="154"/>
        <v>1</v>
      </c>
      <c r="N2412" t="s">
        <v>128</v>
      </c>
      <c r="O2412" t="s">
        <v>128</v>
      </c>
      <c r="P2412">
        <v>0</v>
      </c>
      <c r="Q2412">
        <v>0</v>
      </c>
      <c r="R2412" t="s">
        <v>1335</v>
      </c>
    </row>
    <row r="2413" spans="1:19" hidden="1" x14ac:dyDescent="0.3">
      <c r="A2413">
        <v>474</v>
      </c>
      <c r="B2413" t="s">
        <v>1334</v>
      </c>
      <c r="C2413" t="s">
        <v>1059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K2413">
        <v>0</v>
      </c>
      <c r="L2413" s="39"/>
      <c r="M2413" s="39"/>
      <c r="N2413" t="s">
        <v>128</v>
      </c>
      <c r="O2413" t="s">
        <v>128</v>
      </c>
      <c r="P2413">
        <v>0</v>
      </c>
      <c r="Q2413">
        <v>0</v>
      </c>
      <c r="R2413" t="s">
        <v>3123</v>
      </c>
    </row>
    <row r="2414" spans="1:19" hidden="1" x14ac:dyDescent="0.3">
      <c r="A2414">
        <v>474</v>
      </c>
      <c r="B2414" t="s">
        <v>1334</v>
      </c>
      <c r="C2414" t="s">
        <v>1059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L2414" s="39"/>
      <c r="M2414" s="39"/>
      <c r="N2414" t="s">
        <v>128</v>
      </c>
      <c r="O2414" t="s">
        <v>302</v>
      </c>
      <c r="P2414">
        <v>0</v>
      </c>
      <c r="Q2414">
        <v>0</v>
      </c>
      <c r="R2414" t="s">
        <v>1336</v>
      </c>
      <c r="S2414" t="s">
        <v>302</v>
      </c>
    </row>
    <row r="2415" spans="1:19" hidden="1" x14ac:dyDescent="0.3">
      <c r="A2415">
        <v>475</v>
      </c>
      <c r="B2415" t="s">
        <v>1337</v>
      </c>
      <c r="C2415" t="s">
        <v>819</v>
      </c>
      <c r="D2415" t="s">
        <v>21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0</v>
      </c>
      <c r="L2415" s="39">
        <f t="shared" ref="L2415:L2424" si="156">IFERROR(IF(OR(J2415=0,K2415=""),"",IF(E2415="Positivo",MIN(MAX(K2415/J2415,0),1.3),MIN(MAX(J2415/K2415,0),1.3))),"")</f>
        <v>0</v>
      </c>
      <c r="M2415" s="39">
        <f t="shared" ref="M2415:M2424" si="157">IFERROR(IF(OR(J2415=0,K2415=""),"",IF(E2415="Positivo",MAX(K2415/J2415,0),MAX(J2415/K2415,0))),"")</f>
        <v>0</v>
      </c>
      <c r="N2415" t="s">
        <v>128</v>
      </c>
      <c r="O2415" t="s">
        <v>128</v>
      </c>
      <c r="P2415">
        <v>0</v>
      </c>
      <c r="Q2415">
        <v>0</v>
      </c>
      <c r="R2415" t="s">
        <v>3124</v>
      </c>
    </row>
    <row r="2416" spans="1:19" hidden="1" x14ac:dyDescent="0.3">
      <c r="A2416">
        <v>475</v>
      </c>
      <c r="B2416" t="s">
        <v>1337</v>
      </c>
      <c r="C2416" t="s">
        <v>819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140</v>
      </c>
      <c r="L2416" s="39">
        <f t="shared" si="156"/>
        <v>1.3</v>
      </c>
      <c r="M2416" s="39">
        <f t="shared" si="157"/>
        <v>1.4</v>
      </c>
      <c r="P2416">
        <v>0</v>
      </c>
      <c r="Q2416">
        <v>0</v>
      </c>
      <c r="R2416" t="s">
        <v>1338</v>
      </c>
    </row>
    <row r="2417" spans="1:19" hidden="1" x14ac:dyDescent="0.3">
      <c r="A2417">
        <v>475</v>
      </c>
      <c r="B2417" t="s">
        <v>1337</v>
      </c>
      <c r="C2417" t="s">
        <v>819</v>
      </c>
      <c r="D2417" t="s">
        <v>21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0</v>
      </c>
      <c r="L2417" s="39">
        <f t="shared" si="156"/>
        <v>0</v>
      </c>
      <c r="M2417" s="39">
        <f t="shared" si="157"/>
        <v>0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475</v>
      </c>
      <c r="B2418" t="s">
        <v>1337</v>
      </c>
      <c r="C2418" t="s">
        <v>819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1339</v>
      </c>
    </row>
    <row r="2419" spans="1:19" hidden="1" x14ac:dyDescent="0.3">
      <c r="A2419">
        <v>476</v>
      </c>
      <c r="B2419" t="s">
        <v>1340</v>
      </c>
      <c r="C2419" t="s">
        <v>549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476</v>
      </c>
      <c r="B2420" t="s">
        <v>1340</v>
      </c>
      <c r="C2420" t="s">
        <v>549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1341</v>
      </c>
    </row>
    <row r="2421" spans="1:19" hidden="1" x14ac:dyDescent="0.3">
      <c r="A2421">
        <v>476</v>
      </c>
      <c r="B2421" t="s">
        <v>1340</v>
      </c>
      <c r="C2421" t="s">
        <v>549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100</v>
      </c>
      <c r="L2421" s="39">
        <f t="shared" si="156"/>
        <v>1</v>
      </c>
      <c r="M2421" s="39">
        <f t="shared" si="157"/>
        <v>1</v>
      </c>
      <c r="N2421" t="s">
        <v>128</v>
      </c>
      <c r="O2421" t="s">
        <v>128</v>
      </c>
      <c r="P2421">
        <v>0</v>
      </c>
      <c r="Q2421">
        <v>0</v>
      </c>
      <c r="R2421" t="s">
        <v>3127</v>
      </c>
    </row>
    <row r="2422" spans="1:19" hidden="1" x14ac:dyDescent="0.3">
      <c r="A2422">
        <v>476</v>
      </c>
      <c r="B2422" t="s">
        <v>1340</v>
      </c>
      <c r="C2422" t="s">
        <v>549</v>
      </c>
      <c r="D2422" t="s">
        <v>21</v>
      </c>
      <c r="E2422" t="s">
        <v>22</v>
      </c>
      <c r="F2422" s="79">
        <v>46022</v>
      </c>
      <c r="G2422">
        <v>2025</v>
      </c>
      <c r="H2422" t="s">
        <v>23</v>
      </c>
      <c r="I2422" t="s">
        <v>32</v>
      </c>
      <c r="J2422">
        <v>100</v>
      </c>
      <c r="K2422">
        <v>100</v>
      </c>
      <c r="L2422" s="39">
        <f t="shared" si="156"/>
        <v>1</v>
      </c>
      <c r="M2422" s="39">
        <f t="shared" si="157"/>
        <v>1</v>
      </c>
      <c r="N2422" t="s">
        <v>128</v>
      </c>
      <c r="O2422" t="s">
        <v>128</v>
      </c>
      <c r="P2422">
        <v>0</v>
      </c>
      <c r="Q2422">
        <v>0</v>
      </c>
      <c r="R2422" t="s">
        <v>1342</v>
      </c>
    </row>
    <row r="2423" spans="1:19" hidden="1" x14ac:dyDescent="0.3">
      <c r="A2423">
        <v>477</v>
      </c>
      <c r="B2423" t="s">
        <v>1343</v>
      </c>
      <c r="C2423" t="s">
        <v>1059</v>
      </c>
      <c r="D2423" t="s">
        <v>27</v>
      </c>
      <c r="E2423" t="s">
        <v>22</v>
      </c>
      <c r="F2423" s="79">
        <v>45473</v>
      </c>
      <c r="G2423">
        <v>2024</v>
      </c>
      <c r="H2423" t="s">
        <v>699</v>
      </c>
      <c r="I2423" t="s">
        <v>729</v>
      </c>
      <c r="J2423">
        <v>100</v>
      </c>
      <c r="K2423">
        <v>100</v>
      </c>
      <c r="L2423" s="39">
        <f t="shared" si="156"/>
        <v>1</v>
      </c>
      <c r="M2423" s="39">
        <f t="shared" si="157"/>
        <v>1</v>
      </c>
      <c r="P2423">
        <v>0</v>
      </c>
      <c r="Q2423">
        <v>0</v>
      </c>
      <c r="R2423" t="s">
        <v>3128</v>
      </c>
    </row>
    <row r="2424" spans="1:19" hidden="1" x14ac:dyDescent="0.3">
      <c r="A2424">
        <v>477</v>
      </c>
      <c r="B2424" t="s">
        <v>1343</v>
      </c>
      <c r="C2424" t="s">
        <v>1059</v>
      </c>
      <c r="D2424" t="s">
        <v>27</v>
      </c>
      <c r="E2424" t="s">
        <v>22</v>
      </c>
      <c r="F2424" s="79">
        <v>45657</v>
      </c>
      <c r="G2424">
        <v>2024</v>
      </c>
      <c r="H2424" t="s">
        <v>23</v>
      </c>
      <c r="I2424" t="s">
        <v>30</v>
      </c>
      <c r="J2424">
        <v>100</v>
      </c>
      <c r="K2424">
        <v>100</v>
      </c>
      <c r="L2424" s="39">
        <f t="shared" si="156"/>
        <v>1</v>
      </c>
      <c r="M2424" s="39">
        <f t="shared" si="157"/>
        <v>1</v>
      </c>
      <c r="P2424">
        <v>0</v>
      </c>
      <c r="Q2424">
        <v>0</v>
      </c>
      <c r="R2424" t="s">
        <v>1344</v>
      </c>
    </row>
    <row r="2425" spans="1:19" hidden="1" x14ac:dyDescent="0.3">
      <c r="A2425">
        <v>477</v>
      </c>
      <c r="B2425" t="s">
        <v>1343</v>
      </c>
      <c r="C2425" t="s">
        <v>1059</v>
      </c>
      <c r="D2425" t="s">
        <v>21</v>
      </c>
      <c r="E2425" t="s">
        <v>22</v>
      </c>
      <c r="F2425" s="79">
        <v>45838</v>
      </c>
      <c r="G2425">
        <v>2025</v>
      </c>
      <c r="H2425" t="s">
        <v>699</v>
      </c>
      <c r="I2425" t="s">
        <v>700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3129</v>
      </c>
      <c r="S2425" t="s">
        <v>302</v>
      </c>
    </row>
    <row r="2426" spans="1:19" hidden="1" x14ac:dyDescent="0.3">
      <c r="A2426">
        <v>478</v>
      </c>
      <c r="B2426" t="s">
        <v>1345</v>
      </c>
      <c r="C2426" t="s">
        <v>1059</v>
      </c>
      <c r="D2426" t="s">
        <v>21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L2426" s="39"/>
      <c r="M2426" s="39"/>
      <c r="N2426" t="s">
        <v>128</v>
      </c>
      <c r="O2426" t="s">
        <v>302</v>
      </c>
      <c r="P2426">
        <v>0</v>
      </c>
      <c r="Q2426">
        <v>0</v>
      </c>
      <c r="R2426" t="s">
        <v>3130</v>
      </c>
      <c r="S2426" t="s">
        <v>302</v>
      </c>
    </row>
    <row r="2427" spans="1:19" hidden="1" x14ac:dyDescent="0.3">
      <c r="A2427">
        <v>478</v>
      </c>
      <c r="B2427" t="s">
        <v>1345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1346</v>
      </c>
    </row>
    <row r="2428" spans="1:19" hidden="1" x14ac:dyDescent="0.3">
      <c r="A2428">
        <v>478</v>
      </c>
      <c r="B2428" t="s">
        <v>1345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K2428">
        <v>0</v>
      </c>
      <c r="L2428" s="39"/>
      <c r="M2428" s="39"/>
      <c r="N2428" t="s">
        <v>128</v>
      </c>
      <c r="O2428" t="s">
        <v>128</v>
      </c>
      <c r="P2428">
        <v>0</v>
      </c>
      <c r="Q2428">
        <v>0</v>
      </c>
      <c r="R2428" t="s">
        <v>3131</v>
      </c>
    </row>
    <row r="2429" spans="1:19" hidden="1" x14ac:dyDescent="0.3">
      <c r="A2429">
        <v>478</v>
      </c>
      <c r="B2429" t="s">
        <v>1345</v>
      </c>
      <c r="C2429" t="s">
        <v>1059</v>
      </c>
      <c r="D2429" t="s">
        <v>21</v>
      </c>
      <c r="E2429" t="s">
        <v>22</v>
      </c>
      <c r="F2429" s="79">
        <v>46022</v>
      </c>
      <c r="G2429">
        <v>2025</v>
      </c>
      <c r="H2429" t="s">
        <v>23</v>
      </c>
      <c r="I2429" t="s">
        <v>32</v>
      </c>
      <c r="L2429" s="39"/>
      <c r="M2429" s="39"/>
      <c r="N2429" t="s">
        <v>128</v>
      </c>
      <c r="O2429" t="s">
        <v>302</v>
      </c>
      <c r="P2429">
        <v>0</v>
      </c>
      <c r="Q2429">
        <v>0</v>
      </c>
      <c r="R2429" t="s">
        <v>1347</v>
      </c>
      <c r="S2429" t="s">
        <v>302</v>
      </c>
    </row>
    <row r="2430" spans="1:19" hidden="1" x14ac:dyDescent="0.3">
      <c r="A2430">
        <v>479</v>
      </c>
      <c r="B2430" t="s">
        <v>1348</v>
      </c>
      <c r="C2430" t="s">
        <v>1059</v>
      </c>
      <c r="D2430" t="s">
        <v>27</v>
      </c>
      <c r="E2430" t="s">
        <v>22</v>
      </c>
      <c r="F2430" s="79">
        <v>45473</v>
      </c>
      <c r="G2430">
        <v>2024</v>
      </c>
      <c r="H2430" t="s">
        <v>699</v>
      </c>
      <c r="I2430" t="s">
        <v>729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3132</v>
      </c>
    </row>
    <row r="2431" spans="1:19" hidden="1" x14ac:dyDescent="0.3">
      <c r="A2431">
        <v>479</v>
      </c>
      <c r="B2431" t="s">
        <v>1348</v>
      </c>
      <c r="C2431" t="s">
        <v>1059</v>
      </c>
      <c r="D2431" t="s">
        <v>27</v>
      </c>
      <c r="E2431" t="s">
        <v>22</v>
      </c>
      <c r="F2431" s="79">
        <v>45657</v>
      </c>
      <c r="G2431">
        <v>2024</v>
      </c>
      <c r="H2431" t="s">
        <v>23</v>
      </c>
      <c r="I2431" t="s">
        <v>30</v>
      </c>
      <c r="J2431">
        <v>100</v>
      </c>
      <c r="K2431">
        <v>100</v>
      </c>
      <c r="L2431" s="39">
        <f>IFERROR(IF(OR(J2431=0,K2431=""),"",IF(E2431="Positivo",MIN(MAX(K2431/J2431,0),1.3),MIN(MAX(J2431/K2431,0),1.3))),"")</f>
        <v>1</v>
      </c>
      <c r="M2431" s="39">
        <f>IFERROR(IF(OR(J2431=0,K2431=""),"",IF(E2431="Positivo",MAX(K2431/J2431,0),MAX(J2431/K2431,0))),"")</f>
        <v>1</v>
      </c>
      <c r="P2431">
        <v>0</v>
      </c>
      <c r="Q2431">
        <v>0</v>
      </c>
      <c r="R2431" t="s">
        <v>1349</v>
      </c>
    </row>
    <row r="2432" spans="1:19" hidden="1" x14ac:dyDescent="0.3">
      <c r="A2432">
        <v>479</v>
      </c>
      <c r="B2432" t="s">
        <v>1348</v>
      </c>
      <c r="C2432" t="s">
        <v>1059</v>
      </c>
      <c r="D2432" t="s">
        <v>21</v>
      </c>
      <c r="E2432" t="s">
        <v>22</v>
      </c>
      <c r="F2432" s="79">
        <v>45838</v>
      </c>
      <c r="G2432">
        <v>2025</v>
      </c>
      <c r="H2432" t="s">
        <v>699</v>
      </c>
      <c r="I2432" t="s">
        <v>700</v>
      </c>
      <c r="J2432">
        <v>100</v>
      </c>
      <c r="L2432" s="39"/>
      <c r="M2432" s="39"/>
      <c r="N2432" t="s">
        <v>128</v>
      </c>
      <c r="O2432" t="s">
        <v>302</v>
      </c>
      <c r="P2432">
        <v>0</v>
      </c>
      <c r="Q2432">
        <v>0</v>
      </c>
      <c r="R2432" t="s">
        <v>3133</v>
      </c>
      <c r="S2432" t="s">
        <v>302</v>
      </c>
    </row>
    <row r="2433" spans="1:19" hidden="1" x14ac:dyDescent="0.3">
      <c r="A2433">
        <v>480</v>
      </c>
      <c r="B2433" t="s">
        <v>1350</v>
      </c>
      <c r="C2433" t="s">
        <v>1059</v>
      </c>
      <c r="D2433" t="s">
        <v>27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100</v>
      </c>
      <c r="L2433" s="39">
        <f>IFERROR(IF(OR(J2433=0,K2433=""),"",IF(E2433="Positivo",MIN(MAX(K2433/J2433,0),1.3),MIN(MAX(J2433/K2433,0),1.3))),"")</f>
        <v>1</v>
      </c>
      <c r="M2433" s="39">
        <f>IFERROR(IF(OR(J2433=0,K2433=""),"",IF(E2433="Positivo",MAX(K2433/J2433,0),MAX(J2433/K2433,0))),"")</f>
        <v>1</v>
      </c>
      <c r="P2433">
        <v>0</v>
      </c>
      <c r="Q2433">
        <v>0</v>
      </c>
      <c r="R2433" t="s">
        <v>3134</v>
      </c>
    </row>
    <row r="2434" spans="1:19" hidden="1" x14ac:dyDescent="0.3">
      <c r="A2434">
        <v>480</v>
      </c>
      <c r="B2434" t="s">
        <v>1350</v>
      </c>
      <c r="C2434" t="s">
        <v>1059</v>
      </c>
      <c r="D2434" t="s">
        <v>27</v>
      </c>
      <c r="E2434" t="s">
        <v>22</v>
      </c>
      <c r="F2434" s="79">
        <v>45657</v>
      </c>
      <c r="G2434">
        <v>2024</v>
      </c>
      <c r="H2434" t="s">
        <v>23</v>
      </c>
      <c r="I2434" t="s">
        <v>30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P2434">
        <v>0</v>
      </c>
      <c r="Q2434">
        <v>0</v>
      </c>
      <c r="R2434" t="s">
        <v>1351</v>
      </c>
    </row>
    <row r="2435" spans="1:19" hidden="1" x14ac:dyDescent="0.3">
      <c r="A2435">
        <v>480</v>
      </c>
      <c r="B2435" t="s">
        <v>1350</v>
      </c>
      <c r="C2435" t="s">
        <v>1059</v>
      </c>
      <c r="D2435" t="s">
        <v>21</v>
      </c>
      <c r="E2435" t="s">
        <v>22</v>
      </c>
      <c r="F2435" s="79">
        <v>45838</v>
      </c>
      <c r="G2435">
        <v>2025</v>
      </c>
      <c r="H2435" t="s">
        <v>699</v>
      </c>
      <c r="I2435" t="s">
        <v>700</v>
      </c>
      <c r="J2435">
        <v>100</v>
      </c>
      <c r="L2435" s="39"/>
      <c r="M2435" s="39"/>
      <c r="N2435" t="s">
        <v>128</v>
      </c>
      <c r="O2435" t="s">
        <v>302</v>
      </c>
      <c r="P2435">
        <v>0</v>
      </c>
      <c r="Q2435">
        <v>0</v>
      </c>
      <c r="R2435" t="s">
        <v>3135</v>
      </c>
      <c r="S2435" t="s">
        <v>302</v>
      </c>
    </row>
    <row r="2436" spans="1:19" hidden="1" x14ac:dyDescent="0.3">
      <c r="A2436">
        <v>481</v>
      </c>
      <c r="B2436" t="s">
        <v>1352</v>
      </c>
      <c r="C2436" t="s">
        <v>549</v>
      </c>
      <c r="D2436" t="s">
        <v>27</v>
      </c>
      <c r="E2436" t="s">
        <v>22</v>
      </c>
      <c r="F2436" s="79">
        <v>45473</v>
      </c>
      <c r="G2436">
        <v>2024</v>
      </c>
      <c r="H2436" t="s">
        <v>699</v>
      </c>
      <c r="I2436" t="s">
        <v>729</v>
      </c>
      <c r="J2436">
        <v>100</v>
      </c>
      <c r="K2436">
        <v>100</v>
      </c>
      <c r="L2436" s="39">
        <f>IFERROR(IF(OR(J2436=0,K2436=""),"",IF(E2436="Positivo",MIN(MAX(K2436/J2436,0),1.3),MIN(MAX(J2436/K2436,0),1.3))),"")</f>
        <v>1</v>
      </c>
      <c r="M2436" s="39">
        <f>IFERROR(IF(OR(J2436=0,K2436=""),"",IF(E2436="Positivo",MAX(K2436/J2436,0),MAX(J2436/K2436,0))),"")</f>
        <v>1</v>
      </c>
      <c r="P2436">
        <v>0</v>
      </c>
      <c r="Q2436">
        <v>0</v>
      </c>
      <c r="R2436" t="s">
        <v>3136</v>
      </c>
    </row>
    <row r="2437" spans="1:19" hidden="1" x14ac:dyDescent="0.3">
      <c r="A2437">
        <v>481</v>
      </c>
      <c r="B2437" t="s">
        <v>1352</v>
      </c>
      <c r="C2437" t="s">
        <v>549</v>
      </c>
      <c r="D2437" t="s">
        <v>21</v>
      </c>
      <c r="E2437" t="s">
        <v>22</v>
      </c>
      <c r="F2437" s="79">
        <v>45657</v>
      </c>
      <c r="G2437">
        <v>2024</v>
      </c>
      <c r="H2437" t="s">
        <v>23</v>
      </c>
      <c r="I2437" t="s">
        <v>30</v>
      </c>
      <c r="J2437">
        <v>100</v>
      </c>
      <c r="L2437" s="39"/>
      <c r="M2437" s="39"/>
      <c r="N2437" t="s">
        <v>25</v>
      </c>
      <c r="O2437" t="s">
        <v>302</v>
      </c>
      <c r="P2437">
        <v>0</v>
      </c>
      <c r="Q2437">
        <v>0</v>
      </c>
      <c r="R2437" t="s">
        <v>1353</v>
      </c>
      <c r="S2437" t="s">
        <v>302</v>
      </c>
    </row>
    <row r="2438" spans="1:19" hidden="1" x14ac:dyDescent="0.3">
      <c r="A2438">
        <v>481</v>
      </c>
      <c r="B2438" t="s">
        <v>1352</v>
      </c>
      <c r="C2438" t="s">
        <v>549</v>
      </c>
      <c r="D2438" t="s">
        <v>21</v>
      </c>
      <c r="E2438" t="s">
        <v>22</v>
      </c>
      <c r="F2438" s="79">
        <v>45838</v>
      </c>
      <c r="G2438">
        <v>2025</v>
      </c>
      <c r="H2438" t="s">
        <v>699</v>
      </c>
      <c r="I2438" t="s">
        <v>700</v>
      </c>
      <c r="J2438">
        <v>100</v>
      </c>
      <c r="K2438">
        <v>100</v>
      </c>
      <c r="L2438" s="39">
        <f>IFERROR(IF(OR(J2438=0,K2438=""),"",IF(E2438="Positivo",MIN(MAX(K2438/J2438,0),1.3),MIN(MAX(J2438/K2438,0),1.3))),"")</f>
        <v>1</v>
      </c>
      <c r="M2438" s="39">
        <f>IFERROR(IF(OR(J2438=0,K2438=""),"",IF(E2438="Positivo",MAX(K2438/J2438,0),MAX(J2438/K2438,0))),"")</f>
        <v>1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481</v>
      </c>
      <c r="B2439" t="s">
        <v>1352</v>
      </c>
      <c r="C2439" t="s">
        <v>549</v>
      </c>
      <c r="D2439" t="s">
        <v>21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L2439" s="39"/>
      <c r="M2439" s="39"/>
      <c r="N2439" t="s">
        <v>25</v>
      </c>
      <c r="O2439" t="s">
        <v>302</v>
      </c>
      <c r="P2439">
        <v>0</v>
      </c>
      <c r="Q2439">
        <v>0</v>
      </c>
      <c r="R2439" t="s">
        <v>1354</v>
      </c>
      <c r="S2439" t="s">
        <v>302</v>
      </c>
    </row>
    <row r="2440" spans="1:19" hidden="1" x14ac:dyDescent="0.3">
      <c r="A2440">
        <v>483</v>
      </c>
      <c r="B2440" t="s">
        <v>1355</v>
      </c>
      <c r="C2440" t="s">
        <v>1066</v>
      </c>
      <c r="D2440" t="s">
        <v>71</v>
      </c>
      <c r="E2440" t="s">
        <v>22</v>
      </c>
      <c r="F2440" s="79">
        <v>45657</v>
      </c>
      <c r="G2440">
        <v>2024</v>
      </c>
      <c r="H2440" t="s">
        <v>23</v>
      </c>
      <c r="I2440" t="s">
        <v>30</v>
      </c>
      <c r="J2440">
        <v>10</v>
      </c>
      <c r="K2440">
        <v>91.65</v>
      </c>
      <c r="L2440" s="39">
        <f t="shared" ref="L2440:L2447" si="158">IFERROR(IF(OR(J2440=0,K2440=""),"",IF(E2440="Positivo",MIN(MAX(K2440/J2440,0),1.3),MIN(MAX(J2440/K2440,0),1.3))),"")</f>
        <v>1.3</v>
      </c>
      <c r="M2440" s="39">
        <f t="shared" ref="M2440:M2447" si="159">IFERROR(IF(OR(J2440=0,K2440=""),"",IF(E2440="Positivo",MAX(K2440/J2440,0),MAX(J2440/K2440,0))),"")</f>
        <v>9.1650000000000009</v>
      </c>
      <c r="P2440">
        <v>0</v>
      </c>
      <c r="Q2440">
        <v>0</v>
      </c>
      <c r="R2440" t="s">
        <v>1356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45473</v>
      </c>
      <c r="G2441">
        <v>2024</v>
      </c>
      <c r="H2441" t="s">
        <v>699</v>
      </c>
      <c r="I2441" t="s">
        <v>729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3138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21</v>
      </c>
      <c r="E2442" t="s">
        <v>22</v>
      </c>
      <c r="F2442" s="79">
        <v>45565</v>
      </c>
      <c r="G2442">
        <v>2024</v>
      </c>
      <c r="H2442" t="s">
        <v>162</v>
      </c>
      <c r="I2442" t="s">
        <v>30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3139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21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1358</v>
      </c>
    </row>
    <row r="2444" spans="1:19" hidden="1" x14ac:dyDescent="0.3">
      <c r="A2444">
        <v>484</v>
      </c>
      <c r="B2444" t="s">
        <v>1357</v>
      </c>
      <c r="C2444" t="s">
        <v>70</v>
      </c>
      <c r="D2444" t="s">
        <v>21</v>
      </c>
      <c r="E2444" t="s">
        <v>22</v>
      </c>
      <c r="F2444" s="79">
        <v>45747</v>
      </c>
      <c r="G2444">
        <v>2025</v>
      </c>
      <c r="H2444" t="s">
        <v>1516</v>
      </c>
      <c r="I2444" t="s">
        <v>700</v>
      </c>
      <c r="J2444">
        <v>90</v>
      </c>
      <c r="K2444">
        <v>100</v>
      </c>
      <c r="L2444" s="39">
        <f t="shared" si="158"/>
        <v>1.1111111111111112</v>
      </c>
      <c r="M2444" s="39">
        <f t="shared" si="159"/>
        <v>1.1111111111111112</v>
      </c>
      <c r="N2444" t="s">
        <v>25</v>
      </c>
      <c r="O2444" t="s">
        <v>25</v>
      </c>
      <c r="P2444">
        <v>0</v>
      </c>
      <c r="Q2444">
        <v>0</v>
      </c>
      <c r="R2444" t="s">
        <v>3140</v>
      </c>
    </row>
    <row r="2445" spans="1:19" hidden="1" x14ac:dyDescent="0.3">
      <c r="A2445">
        <v>484</v>
      </c>
      <c r="B2445" t="s">
        <v>1357</v>
      </c>
      <c r="C2445" t="s">
        <v>70</v>
      </c>
      <c r="D2445" t="s">
        <v>21</v>
      </c>
      <c r="E2445" t="s">
        <v>22</v>
      </c>
      <c r="F2445" s="79">
        <v>45838</v>
      </c>
      <c r="G2445">
        <v>2025</v>
      </c>
      <c r="H2445" t="s">
        <v>699</v>
      </c>
      <c r="I2445" t="s">
        <v>700</v>
      </c>
      <c r="J2445">
        <v>90</v>
      </c>
      <c r="K2445">
        <v>100</v>
      </c>
      <c r="L2445" s="39">
        <f t="shared" si="158"/>
        <v>1.1111111111111112</v>
      </c>
      <c r="M2445" s="39">
        <f t="shared" si="159"/>
        <v>1.1111111111111112</v>
      </c>
      <c r="N2445" t="s">
        <v>25</v>
      </c>
      <c r="O2445" t="s">
        <v>25</v>
      </c>
      <c r="P2445">
        <v>0</v>
      </c>
      <c r="Q2445">
        <v>0</v>
      </c>
      <c r="R2445" t="s">
        <v>3141</v>
      </c>
    </row>
    <row r="2446" spans="1:19" hidden="1" x14ac:dyDescent="0.3">
      <c r="A2446">
        <v>484</v>
      </c>
      <c r="B2446" t="s">
        <v>1357</v>
      </c>
      <c r="C2446" t="s">
        <v>70</v>
      </c>
      <c r="D2446" t="s">
        <v>27</v>
      </c>
      <c r="E2446" t="s">
        <v>22</v>
      </c>
      <c r="F2446" s="79">
        <v>45930</v>
      </c>
      <c r="G2446">
        <v>2025</v>
      </c>
      <c r="H2446" t="s">
        <v>162</v>
      </c>
      <c r="I2446" t="s">
        <v>32</v>
      </c>
      <c r="J2446">
        <v>90</v>
      </c>
      <c r="K2446">
        <v>100</v>
      </c>
      <c r="L2446" s="39">
        <f t="shared" si="158"/>
        <v>1.1111111111111112</v>
      </c>
      <c r="M2446" s="39">
        <f t="shared" si="159"/>
        <v>1.1111111111111112</v>
      </c>
      <c r="N2446" t="s">
        <v>25</v>
      </c>
      <c r="O2446" t="s">
        <v>25</v>
      </c>
      <c r="P2446">
        <v>0</v>
      </c>
      <c r="Q2446">
        <v>0</v>
      </c>
      <c r="R2446" t="s">
        <v>3142</v>
      </c>
    </row>
    <row r="2447" spans="1:19" hidden="1" x14ac:dyDescent="0.3">
      <c r="A2447">
        <v>484</v>
      </c>
      <c r="B2447" t="s">
        <v>1357</v>
      </c>
      <c r="C2447" t="s">
        <v>70</v>
      </c>
      <c r="D2447" t="s">
        <v>27</v>
      </c>
      <c r="E2447" t="s">
        <v>22</v>
      </c>
      <c r="F2447" s="79">
        <v>46022</v>
      </c>
      <c r="G2447">
        <v>2025</v>
      </c>
      <c r="H2447" t="s">
        <v>23</v>
      </c>
      <c r="I2447" t="s">
        <v>32</v>
      </c>
      <c r="J2447">
        <v>90</v>
      </c>
      <c r="K2447">
        <v>100</v>
      </c>
      <c r="L2447" s="39">
        <f t="shared" si="158"/>
        <v>1.1111111111111112</v>
      </c>
      <c r="M2447" s="39">
        <f t="shared" si="159"/>
        <v>1.1111111111111112</v>
      </c>
      <c r="N2447" t="s">
        <v>25</v>
      </c>
      <c r="O2447" t="s">
        <v>25</v>
      </c>
      <c r="P2447">
        <v>0</v>
      </c>
      <c r="Q2447">
        <v>0</v>
      </c>
      <c r="R2447" t="s">
        <v>1359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45322</v>
      </c>
      <c r="G2448">
        <v>2024</v>
      </c>
      <c r="H2448" t="s">
        <v>59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3143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45351</v>
      </c>
      <c r="G2449">
        <v>2024</v>
      </c>
      <c r="H2449" t="s">
        <v>210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3144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45382</v>
      </c>
      <c r="G2450">
        <v>2024</v>
      </c>
      <c r="H2450" t="s">
        <v>1516</v>
      </c>
      <c r="I2450" t="s">
        <v>729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3145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45412</v>
      </c>
      <c r="G2451">
        <v>2024</v>
      </c>
      <c r="H2451" t="s">
        <v>1540</v>
      </c>
      <c r="I2451" t="s">
        <v>729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3146</v>
      </c>
      <c r="S2451" t="s">
        <v>302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45443</v>
      </c>
      <c r="G2452">
        <v>2024</v>
      </c>
      <c r="H2452" t="s">
        <v>1542</v>
      </c>
      <c r="I2452" t="s">
        <v>729</v>
      </c>
      <c r="L2452" s="39"/>
      <c r="M2452" s="39"/>
      <c r="N2452" t="s">
        <v>25</v>
      </c>
      <c r="O2452" t="s">
        <v>302</v>
      </c>
      <c r="P2452">
        <v>0</v>
      </c>
      <c r="Q2452">
        <v>0</v>
      </c>
      <c r="R2452" t="s">
        <v>3147</v>
      </c>
      <c r="S2452" t="s">
        <v>302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L2453" s="39"/>
      <c r="M2453" s="39"/>
      <c r="N2453" t="s">
        <v>25</v>
      </c>
      <c r="O2453" t="s">
        <v>302</v>
      </c>
      <c r="P2453">
        <v>0</v>
      </c>
      <c r="Q2453">
        <v>0</v>
      </c>
      <c r="R2453" t="s">
        <v>3148</v>
      </c>
      <c r="S2453" t="s">
        <v>302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45504</v>
      </c>
      <c r="G2454">
        <v>2024</v>
      </c>
      <c r="H2454" t="s">
        <v>260</v>
      </c>
      <c r="I2454" t="s">
        <v>30</v>
      </c>
      <c r="J2454">
        <v>80</v>
      </c>
      <c r="L2454" s="39"/>
      <c r="M2454" s="39"/>
      <c r="N2454" t="s">
        <v>25</v>
      </c>
      <c r="O2454" t="s">
        <v>302</v>
      </c>
      <c r="P2454">
        <v>0</v>
      </c>
      <c r="Q2454">
        <v>0</v>
      </c>
      <c r="R2454" t="s">
        <v>3149</v>
      </c>
      <c r="S2454" t="s">
        <v>302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45565</v>
      </c>
      <c r="G2455">
        <v>2024</v>
      </c>
      <c r="H2455" t="s">
        <v>162</v>
      </c>
      <c r="I2455" t="s">
        <v>30</v>
      </c>
      <c r="J2455">
        <v>80</v>
      </c>
      <c r="K2455">
        <v>100</v>
      </c>
      <c r="L2455" s="39">
        <f t="shared" ref="L2455:L2469" si="160">IFERROR(IF(OR(J2455=0,K2455=""),"",IF(E2455="Positivo",MIN(MAX(K2455/J2455,0),1.3),MIN(MAX(J2455/K2455,0),1.3))),"")</f>
        <v>1.25</v>
      </c>
      <c r="M2455" s="39">
        <f t="shared" ref="M2455:M2469" si="161">IFERROR(IF(OR(J2455=0,K2455=""),"",IF(E2455="Positivo",MAX(K2455/J2455,0),MAX(J2455/K2455,0))),"")</f>
        <v>1.25</v>
      </c>
      <c r="P2455">
        <v>0</v>
      </c>
      <c r="Q2455">
        <v>0</v>
      </c>
      <c r="R2455" t="s">
        <v>3150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45596</v>
      </c>
      <c r="G2456">
        <v>2024</v>
      </c>
      <c r="H2456" t="s">
        <v>150</v>
      </c>
      <c r="I2456" t="s">
        <v>30</v>
      </c>
      <c r="J2456">
        <v>80</v>
      </c>
      <c r="K2456">
        <v>100</v>
      </c>
      <c r="L2456" s="39">
        <f t="shared" si="160"/>
        <v>1.25</v>
      </c>
      <c r="M2456" s="39">
        <f t="shared" si="161"/>
        <v>1.25</v>
      </c>
      <c r="P2456">
        <v>0</v>
      </c>
      <c r="Q2456">
        <v>0</v>
      </c>
      <c r="R2456" t="s">
        <v>3151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45626</v>
      </c>
      <c r="G2457">
        <v>2024</v>
      </c>
      <c r="H2457" t="s">
        <v>1550</v>
      </c>
      <c r="I2457" t="s">
        <v>30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3152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80</v>
      </c>
      <c r="K2458">
        <v>66.666666666666657</v>
      </c>
      <c r="L2458" s="39">
        <f t="shared" si="160"/>
        <v>0.83333333333333326</v>
      </c>
      <c r="M2458" s="39">
        <f t="shared" si="161"/>
        <v>0.83333333333333326</v>
      </c>
      <c r="P2458">
        <v>0</v>
      </c>
      <c r="Q2458">
        <v>0</v>
      </c>
      <c r="R2458" t="s">
        <v>1361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45688</v>
      </c>
      <c r="G2459">
        <v>2025</v>
      </c>
      <c r="H2459" t="s">
        <v>59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3153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45716</v>
      </c>
      <c r="G2460">
        <v>2025</v>
      </c>
      <c r="H2460" t="s">
        <v>210</v>
      </c>
      <c r="I2460" t="s">
        <v>700</v>
      </c>
      <c r="J2460">
        <v>80</v>
      </c>
      <c r="K2460">
        <v>50</v>
      </c>
      <c r="L2460" s="39">
        <f t="shared" si="160"/>
        <v>0.625</v>
      </c>
      <c r="M2460" s="39">
        <f t="shared" si="161"/>
        <v>0.625</v>
      </c>
      <c r="P2460">
        <v>0</v>
      </c>
      <c r="Q2460">
        <v>0</v>
      </c>
      <c r="R2460" t="s">
        <v>3154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45747</v>
      </c>
      <c r="G2461">
        <v>2025</v>
      </c>
      <c r="H2461" t="s">
        <v>1516</v>
      </c>
      <c r="I2461" t="s">
        <v>700</v>
      </c>
      <c r="J2461">
        <v>80</v>
      </c>
      <c r="K2461">
        <v>100</v>
      </c>
      <c r="L2461" s="39">
        <f t="shared" si="160"/>
        <v>1.25</v>
      </c>
      <c r="M2461" s="39">
        <f t="shared" si="161"/>
        <v>1.25</v>
      </c>
      <c r="P2461">
        <v>0</v>
      </c>
      <c r="Q2461">
        <v>0</v>
      </c>
      <c r="R2461" t="s">
        <v>3155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45777</v>
      </c>
      <c r="G2462">
        <v>2025</v>
      </c>
      <c r="H2462" t="s">
        <v>1540</v>
      </c>
      <c r="I2462" t="s">
        <v>700</v>
      </c>
      <c r="J2462">
        <v>80</v>
      </c>
      <c r="K2462">
        <v>100</v>
      </c>
      <c r="L2462" s="39">
        <f t="shared" si="160"/>
        <v>1.25</v>
      </c>
      <c r="M2462" s="39">
        <f t="shared" si="161"/>
        <v>1.25</v>
      </c>
      <c r="P2462">
        <v>0</v>
      </c>
      <c r="Q2462">
        <v>0</v>
      </c>
      <c r="R2462" t="s">
        <v>3156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45808</v>
      </c>
      <c r="G2463">
        <v>2025</v>
      </c>
      <c r="H2463" t="s">
        <v>1542</v>
      </c>
      <c r="I2463" t="s">
        <v>700</v>
      </c>
      <c r="J2463">
        <v>80</v>
      </c>
      <c r="K2463">
        <v>100</v>
      </c>
      <c r="L2463" s="39">
        <f t="shared" si="160"/>
        <v>1.25</v>
      </c>
      <c r="M2463" s="39">
        <f t="shared" si="161"/>
        <v>1.25</v>
      </c>
      <c r="P2463">
        <v>0</v>
      </c>
      <c r="Q2463">
        <v>0</v>
      </c>
      <c r="R2463" t="s">
        <v>3157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45838</v>
      </c>
      <c r="G2464">
        <v>2025</v>
      </c>
      <c r="H2464" t="s">
        <v>699</v>
      </c>
      <c r="I2464" t="s">
        <v>700</v>
      </c>
      <c r="J2464">
        <v>80</v>
      </c>
      <c r="K2464">
        <v>66.67</v>
      </c>
      <c r="L2464" s="39">
        <f t="shared" si="160"/>
        <v>0.83337499999999998</v>
      </c>
      <c r="M2464" s="39">
        <f t="shared" si="161"/>
        <v>0.83337499999999998</v>
      </c>
      <c r="P2464">
        <v>0</v>
      </c>
      <c r="Q2464">
        <v>0</v>
      </c>
      <c r="R2464" t="s">
        <v>3158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45869</v>
      </c>
      <c r="G2465">
        <v>2025</v>
      </c>
      <c r="H2465" t="s">
        <v>260</v>
      </c>
      <c r="I2465" t="s">
        <v>32</v>
      </c>
      <c r="J2465">
        <v>80</v>
      </c>
      <c r="K2465">
        <v>66.67</v>
      </c>
      <c r="L2465" s="39">
        <f t="shared" si="160"/>
        <v>0.83337499999999998</v>
      </c>
      <c r="M2465" s="39">
        <f t="shared" si="161"/>
        <v>0.83337499999999998</v>
      </c>
      <c r="P2465">
        <v>0</v>
      </c>
      <c r="Q2465">
        <v>0</v>
      </c>
      <c r="R2465" t="s">
        <v>3159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45900</v>
      </c>
      <c r="G2466">
        <v>2025</v>
      </c>
      <c r="H2466" t="s">
        <v>1546</v>
      </c>
      <c r="I2466" t="s">
        <v>32</v>
      </c>
      <c r="J2466">
        <v>80</v>
      </c>
      <c r="K2466">
        <v>50</v>
      </c>
      <c r="L2466" s="39">
        <f t="shared" si="160"/>
        <v>0.625</v>
      </c>
      <c r="M2466" s="39">
        <f t="shared" si="161"/>
        <v>0.625</v>
      </c>
      <c r="N2466" t="s">
        <v>25</v>
      </c>
      <c r="O2466" t="s">
        <v>25</v>
      </c>
      <c r="P2466">
        <v>0</v>
      </c>
      <c r="Q2466">
        <v>0</v>
      </c>
      <c r="R2466" t="s">
        <v>3160</v>
      </c>
    </row>
    <row r="2467" spans="1:19" hidden="1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45930</v>
      </c>
      <c r="G2467">
        <v>2025</v>
      </c>
      <c r="H2467" t="s">
        <v>162</v>
      </c>
      <c r="I2467" t="s">
        <v>32</v>
      </c>
      <c r="J2467">
        <v>80</v>
      </c>
      <c r="K2467">
        <v>62.5</v>
      </c>
      <c r="L2467" s="39">
        <f t="shared" si="160"/>
        <v>0.78125</v>
      </c>
      <c r="M2467" s="39">
        <f t="shared" si="161"/>
        <v>0.78125</v>
      </c>
      <c r="N2467" t="s">
        <v>25</v>
      </c>
      <c r="O2467" t="s">
        <v>25</v>
      </c>
      <c r="P2467">
        <v>0</v>
      </c>
      <c r="Q2467">
        <v>0</v>
      </c>
      <c r="R2467" t="s">
        <v>3161</v>
      </c>
    </row>
    <row r="2468" spans="1:19" hidden="1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45961</v>
      </c>
      <c r="G2468">
        <v>2025</v>
      </c>
      <c r="H2468" t="s">
        <v>150</v>
      </c>
      <c r="I2468" t="s">
        <v>32</v>
      </c>
      <c r="J2468">
        <v>80</v>
      </c>
      <c r="K2468">
        <v>100</v>
      </c>
      <c r="L2468" s="39">
        <f t="shared" si="160"/>
        <v>1.25</v>
      </c>
      <c r="M2468" s="39">
        <f t="shared" si="161"/>
        <v>1.25</v>
      </c>
      <c r="N2468" t="s">
        <v>25</v>
      </c>
      <c r="O2468" t="s">
        <v>25</v>
      </c>
      <c r="P2468">
        <v>0</v>
      </c>
      <c r="Q2468">
        <v>0</v>
      </c>
      <c r="R2468" t="s">
        <v>3162</v>
      </c>
    </row>
    <row r="2469" spans="1:19" hidden="1" x14ac:dyDescent="0.3">
      <c r="A2469">
        <v>485</v>
      </c>
      <c r="B2469" t="s">
        <v>1360</v>
      </c>
      <c r="C2469" t="s">
        <v>198</v>
      </c>
      <c r="D2469" t="s">
        <v>54</v>
      </c>
      <c r="E2469" t="s">
        <v>22</v>
      </c>
      <c r="F2469" s="79">
        <v>45991</v>
      </c>
      <c r="G2469">
        <v>2025</v>
      </c>
      <c r="H2469" t="s">
        <v>1550</v>
      </c>
      <c r="I2469" t="s">
        <v>32</v>
      </c>
      <c r="J2469">
        <v>80</v>
      </c>
      <c r="K2469">
        <v>85.71</v>
      </c>
      <c r="L2469" s="39">
        <f t="shared" si="160"/>
        <v>1.071375</v>
      </c>
      <c r="M2469" s="39">
        <f t="shared" si="161"/>
        <v>1.071375</v>
      </c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485</v>
      </c>
      <c r="B2470" t="s">
        <v>1360</v>
      </c>
      <c r="C2470" t="s">
        <v>198</v>
      </c>
      <c r="D2470" t="s">
        <v>54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J2470">
        <v>80</v>
      </c>
      <c r="L2470" s="39"/>
      <c r="M2470" s="39"/>
      <c r="N2470" t="s">
        <v>25</v>
      </c>
      <c r="O2470" t="s">
        <v>302</v>
      </c>
      <c r="P2470">
        <v>0</v>
      </c>
      <c r="Q2470">
        <v>0</v>
      </c>
      <c r="R2470" t="s">
        <v>1362</v>
      </c>
      <c r="S2470" t="s">
        <v>302</v>
      </c>
    </row>
    <row r="2471" spans="1:19" hidden="1" x14ac:dyDescent="0.3">
      <c r="A2471">
        <v>486</v>
      </c>
      <c r="B2471" t="s">
        <v>1363</v>
      </c>
      <c r="C2471" t="s">
        <v>149</v>
      </c>
      <c r="D2471" t="s">
        <v>27</v>
      </c>
      <c r="E2471" t="s">
        <v>22</v>
      </c>
      <c r="F2471" s="79">
        <v>45473</v>
      </c>
      <c r="G2471">
        <v>2024</v>
      </c>
      <c r="H2471" t="s">
        <v>699</v>
      </c>
      <c r="I2471" t="s">
        <v>729</v>
      </c>
      <c r="K2471">
        <v>4900000</v>
      </c>
      <c r="L2471" s="39"/>
      <c r="M2471" s="39"/>
      <c r="N2471" t="s">
        <v>302</v>
      </c>
      <c r="O2471" t="s">
        <v>302</v>
      </c>
      <c r="P2471">
        <v>0</v>
      </c>
      <c r="Q2471">
        <v>0</v>
      </c>
      <c r="R2471" t="s">
        <v>3164</v>
      </c>
    </row>
    <row r="2472" spans="1:19" hidden="1" x14ac:dyDescent="0.3">
      <c r="A2472">
        <v>486</v>
      </c>
      <c r="B2472" t="s">
        <v>1363</v>
      </c>
      <c r="C2472" t="s">
        <v>149</v>
      </c>
      <c r="D2472" t="s">
        <v>27</v>
      </c>
      <c r="E2472" t="s">
        <v>22</v>
      </c>
      <c r="F2472" s="79">
        <v>45657</v>
      </c>
      <c r="G2472">
        <v>2024</v>
      </c>
      <c r="H2472" t="s">
        <v>23</v>
      </c>
      <c r="I2472" t="s">
        <v>30</v>
      </c>
      <c r="K2472">
        <v>2700000</v>
      </c>
      <c r="L2472" s="39"/>
      <c r="M2472" s="39"/>
      <c r="N2472" t="s">
        <v>302</v>
      </c>
      <c r="O2472" t="s">
        <v>302</v>
      </c>
      <c r="P2472">
        <v>0</v>
      </c>
      <c r="Q2472">
        <v>0</v>
      </c>
      <c r="R2472" t="s">
        <v>1364</v>
      </c>
    </row>
    <row r="2473" spans="1:19" hidden="1" x14ac:dyDescent="0.3">
      <c r="A2473">
        <v>486</v>
      </c>
      <c r="B2473" t="s">
        <v>1363</v>
      </c>
      <c r="C2473" t="s">
        <v>149</v>
      </c>
      <c r="D2473" t="s">
        <v>21</v>
      </c>
      <c r="E2473" t="s">
        <v>22</v>
      </c>
      <c r="F2473" s="79">
        <v>45838</v>
      </c>
      <c r="G2473">
        <v>2025</v>
      </c>
      <c r="H2473" t="s">
        <v>699</v>
      </c>
      <c r="I2473" t="s">
        <v>700</v>
      </c>
      <c r="K2473">
        <v>2890610</v>
      </c>
      <c r="L2473" s="39"/>
      <c r="M2473" s="39"/>
      <c r="N2473" t="s">
        <v>25</v>
      </c>
      <c r="O2473" t="s">
        <v>25</v>
      </c>
      <c r="P2473">
        <v>0</v>
      </c>
      <c r="Q2473">
        <v>0</v>
      </c>
      <c r="R2473" t="s">
        <v>3165</v>
      </c>
    </row>
    <row r="2474" spans="1:19" hidden="1" x14ac:dyDescent="0.3">
      <c r="A2474">
        <v>486</v>
      </c>
      <c r="B2474" t="s">
        <v>1363</v>
      </c>
      <c r="C2474" t="s">
        <v>149</v>
      </c>
      <c r="D2474" t="s">
        <v>21</v>
      </c>
      <c r="E2474" t="s">
        <v>22</v>
      </c>
      <c r="F2474" s="79">
        <v>46022</v>
      </c>
      <c r="G2474">
        <v>2025</v>
      </c>
      <c r="H2474" t="s">
        <v>23</v>
      </c>
      <c r="I2474" t="s">
        <v>32</v>
      </c>
      <c r="K2474">
        <v>2703941</v>
      </c>
      <c r="L2474" s="39"/>
      <c r="M2474" s="39"/>
      <c r="N2474" t="s">
        <v>25</v>
      </c>
      <c r="O2474" t="s">
        <v>25</v>
      </c>
      <c r="P2474">
        <v>0</v>
      </c>
      <c r="Q2474">
        <v>0</v>
      </c>
      <c r="R2474" t="s">
        <v>1365</v>
      </c>
    </row>
    <row r="2475" spans="1:19" hidden="1" x14ac:dyDescent="0.3">
      <c r="A2475">
        <v>487</v>
      </c>
      <c r="B2475" t="s">
        <v>1366</v>
      </c>
      <c r="C2475" t="s">
        <v>619</v>
      </c>
      <c r="D2475" t="s">
        <v>71</v>
      </c>
      <c r="E2475" t="s">
        <v>22</v>
      </c>
      <c r="F2475" s="79">
        <v>45657</v>
      </c>
      <c r="G2475">
        <v>2024</v>
      </c>
      <c r="H2475" t="s">
        <v>23</v>
      </c>
      <c r="I2475" t="s">
        <v>30</v>
      </c>
      <c r="J2475">
        <v>20</v>
      </c>
      <c r="K2475">
        <v>6.06</v>
      </c>
      <c r="L2475" s="39">
        <f>IFERROR(IF(OR(J2475=0,K2475=""),"",IF(E2475="Positivo",MIN(MAX(K2475/J2475,0),1.3),MIN(MAX(J2475/K2475,0),1.3))),"")</f>
        <v>0.30299999999999999</v>
      </c>
      <c r="M2475" s="39">
        <f>IFERROR(IF(OR(J2475=0,K2475=""),"",IF(E2475="Positivo",MAX(K2475/J2475,0),MAX(J2475/K2475,0))),"")</f>
        <v>0.30299999999999999</v>
      </c>
      <c r="P2475">
        <v>0</v>
      </c>
      <c r="Q2475">
        <v>0</v>
      </c>
      <c r="R2475" t="s">
        <v>1367</v>
      </c>
    </row>
    <row r="2476" spans="1:19" hidden="1" x14ac:dyDescent="0.3">
      <c r="A2476">
        <v>487</v>
      </c>
      <c r="B2476" t="s">
        <v>3166</v>
      </c>
      <c r="C2476" t="s">
        <v>619</v>
      </c>
      <c r="D2476" t="s">
        <v>71</v>
      </c>
      <c r="E2476" t="s">
        <v>22</v>
      </c>
      <c r="F2476" s="79">
        <v>46022</v>
      </c>
      <c r="G2476">
        <v>2025</v>
      </c>
      <c r="H2476" t="s">
        <v>23</v>
      </c>
      <c r="I2476" t="s">
        <v>32</v>
      </c>
      <c r="J2476">
        <v>20</v>
      </c>
      <c r="K2476">
        <v>58.86</v>
      </c>
      <c r="L2476" s="39">
        <f>IFERROR(IF(OR(J2476=0,K2476=""),"",IF(E2476="Positivo",MIN(MAX(K2476/J2476,0),1.3),MIN(MAX(J2476/K2476,0),1.3))),"")</f>
        <v>1.3</v>
      </c>
      <c r="M2476" s="39">
        <f>IFERROR(IF(OR(J2476=0,K2476=""),"",IF(E2476="Positivo",MAX(K2476/J2476,0),MAX(J2476/K2476,0))),"")</f>
        <v>2.9430000000000001</v>
      </c>
      <c r="N2476" t="s">
        <v>25</v>
      </c>
      <c r="O2476" t="s">
        <v>25</v>
      </c>
      <c r="P2476">
        <v>0</v>
      </c>
      <c r="Q2476">
        <v>0</v>
      </c>
      <c r="R2476" t="s">
        <v>1368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45322</v>
      </c>
      <c r="G2477">
        <v>2024</v>
      </c>
      <c r="H2477" t="s">
        <v>59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3167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45351</v>
      </c>
      <c r="G2478">
        <v>2024</v>
      </c>
      <c r="H2478" t="s">
        <v>210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3168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45382</v>
      </c>
      <c r="G2479">
        <v>2024</v>
      </c>
      <c r="H2479" t="s">
        <v>1516</v>
      </c>
      <c r="I2479" t="s">
        <v>729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3169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45412</v>
      </c>
      <c r="G2480">
        <v>2024</v>
      </c>
      <c r="H2480" t="s">
        <v>1540</v>
      </c>
      <c r="I2480" t="s">
        <v>729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3170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45443</v>
      </c>
      <c r="G2481">
        <v>2024</v>
      </c>
      <c r="H2481" t="s">
        <v>1542</v>
      </c>
      <c r="I2481" t="s">
        <v>729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3171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45473</v>
      </c>
      <c r="G2482">
        <v>2024</v>
      </c>
      <c r="H2482" t="s">
        <v>699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3172</v>
      </c>
      <c r="S2482" t="s">
        <v>302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45504</v>
      </c>
      <c r="G2483">
        <v>2024</v>
      </c>
      <c r="H2483" t="s">
        <v>260</v>
      </c>
      <c r="I2483" t="s">
        <v>30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3173</v>
      </c>
      <c r="S2483" t="s">
        <v>302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45535</v>
      </c>
      <c r="G2484">
        <v>2024</v>
      </c>
      <c r="H2484" t="s">
        <v>1546</v>
      </c>
      <c r="I2484" t="s">
        <v>30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3174</v>
      </c>
      <c r="S2484" t="s">
        <v>302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45565</v>
      </c>
      <c r="G2485">
        <v>2024</v>
      </c>
      <c r="H2485" t="s">
        <v>162</v>
      </c>
      <c r="I2485" t="s">
        <v>30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3175</v>
      </c>
      <c r="S2485" t="s">
        <v>302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45596</v>
      </c>
      <c r="G2486">
        <v>2024</v>
      </c>
      <c r="H2486" t="s">
        <v>150</v>
      </c>
      <c r="I2486" t="s">
        <v>30</v>
      </c>
      <c r="J2486">
        <v>85</v>
      </c>
      <c r="K2486">
        <v>91.78082191780824</v>
      </c>
      <c r="L2486" s="39">
        <f>IFERROR(IF(OR(J2486=0,K2486=""),"",IF(E2486="Positivo",MIN(MAX(K2486/J2486,0),1.3),MIN(MAX(J2486/K2486,0),1.3))),"")</f>
        <v>1.0797743755036264</v>
      </c>
      <c r="M2486" s="39">
        <f>IFERROR(IF(OR(J2486=0,K2486=""),"",IF(E2486="Positivo",MAX(K2486/J2486,0),MAX(J2486/K2486,0))),"")</f>
        <v>1.0797743755036264</v>
      </c>
      <c r="N2486" t="s">
        <v>25</v>
      </c>
      <c r="O2486" t="s">
        <v>25</v>
      </c>
      <c r="P2486">
        <v>0</v>
      </c>
      <c r="Q2486">
        <v>0</v>
      </c>
      <c r="R2486" t="s">
        <v>3176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45626</v>
      </c>
      <c r="G2487">
        <v>2024</v>
      </c>
      <c r="H2487" t="s">
        <v>1550</v>
      </c>
      <c r="I2487" t="s">
        <v>30</v>
      </c>
      <c r="J2487">
        <v>85</v>
      </c>
      <c r="K2487">
        <v>95.786516853932582</v>
      </c>
      <c r="L2487" s="39">
        <f>IFERROR(IF(OR(J2487=0,K2487=""),"",IF(E2487="Positivo",MIN(MAX(K2487/J2487,0),1.3),MIN(MAX(J2487/K2487,0),1.3))),"")</f>
        <v>1.1269001982815599</v>
      </c>
      <c r="M2487" s="39">
        <f>IFERROR(IF(OR(J2487=0,K2487=""),"",IF(E2487="Positivo",MAX(K2487/J2487,0),MAX(J2487/K2487,0))),"")</f>
        <v>1.1269001982815599</v>
      </c>
      <c r="N2487" t="s">
        <v>25</v>
      </c>
      <c r="O2487" t="s">
        <v>25</v>
      </c>
      <c r="P2487">
        <v>0</v>
      </c>
      <c r="Q2487">
        <v>0</v>
      </c>
      <c r="R2487" t="s">
        <v>3177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45657</v>
      </c>
      <c r="G2488">
        <v>2024</v>
      </c>
      <c r="H2488" t="s">
        <v>23</v>
      </c>
      <c r="I2488" t="s">
        <v>30</v>
      </c>
      <c r="J2488">
        <v>85</v>
      </c>
      <c r="K2488">
        <v>91.31652661064426</v>
      </c>
      <c r="L2488" s="39">
        <f>IFERROR(IF(OR(J2488=0,K2488=""),"",IF(E2488="Positivo",MIN(MAX(K2488/J2488,0),1.3),MIN(MAX(J2488/K2488,0),1.3))),"")</f>
        <v>1.0743120777722854</v>
      </c>
      <c r="M2488" s="39">
        <f>IFERROR(IF(OR(J2488=0,K2488=""),"",IF(E2488="Positivo",MAX(K2488/J2488,0),MAX(J2488/K2488,0))),"")</f>
        <v>1.0743120777722854</v>
      </c>
      <c r="N2488" t="s">
        <v>25</v>
      </c>
      <c r="O2488" t="s">
        <v>25</v>
      </c>
      <c r="P2488">
        <v>0</v>
      </c>
      <c r="Q2488">
        <v>0</v>
      </c>
      <c r="R2488" t="s">
        <v>1370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45688</v>
      </c>
      <c r="G2489">
        <v>2025</v>
      </c>
      <c r="H2489" t="s">
        <v>59</v>
      </c>
      <c r="I2489" t="s">
        <v>700</v>
      </c>
      <c r="J2489">
        <v>85</v>
      </c>
      <c r="K2489">
        <v>78.048780487804876</v>
      </c>
      <c r="L2489" s="39">
        <f>IFERROR(IF(OR(J2489=0,K2489=""),"",IF(E2489="Positivo",MIN(MAX(K2489/J2489,0),1.3),MIN(MAX(J2489/K2489,0),1.3))),"")</f>
        <v>0.9182209469153515</v>
      </c>
      <c r="M2489" s="39">
        <f>IFERROR(IF(OR(J2489=0,K2489=""),"",IF(E2489="Positivo",MAX(K2489/J2489,0),MAX(J2489/K2489,0))),"")</f>
        <v>0.9182209469153515</v>
      </c>
      <c r="N2489" t="s">
        <v>25</v>
      </c>
      <c r="O2489" t="s">
        <v>25</v>
      </c>
      <c r="P2489">
        <v>0</v>
      </c>
      <c r="Q2489">
        <v>0</v>
      </c>
      <c r="R2489" t="s">
        <v>3178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45716</v>
      </c>
      <c r="G2490">
        <v>2025</v>
      </c>
      <c r="H2490" t="s">
        <v>210</v>
      </c>
      <c r="I2490" t="s">
        <v>700</v>
      </c>
      <c r="J2490">
        <v>85</v>
      </c>
      <c r="K2490">
        <v>77.205882352941174</v>
      </c>
      <c r="L2490" s="39">
        <f>IFERROR(IF(OR(J2490=0,K2490=""),"",IF(E2490="Positivo",MIN(MAX(K2490/J2490,0),1.3),MIN(MAX(J2490/K2490,0),1.3))),"")</f>
        <v>0.90830449826989612</v>
      </c>
      <c r="M2490" s="39">
        <f>IFERROR(IF(OR(J2490=0,K2490=""),"",IF(E2490="Positivo",MAX(K2490/J2490,0),MAX(J2490/K2490,0))),"")</f>
        <v>0.90830449826989612</v>
      </c>
      <c r="N2490" t="s">
        <v>25</v>
      </c>
      <c r="O2490" t="s">
        <v>25</v>
      </c>
      <c r="P2490">
        <v>0</v>
      </c>
      <c r="Q2490">
        <v>0</v>
      </c>
      <c r="R2490" t="s">
        <v>3179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45747</v>
      </c>
      <c r="G2491">
        <v>2025</v>
      </c>
      <c r="H2491" t="s">
        <v>1516</v>
      </c>
      <c r="I2491" t="s">
        <v>700</v>
      </c>
      <c r="J2491">
        <v>85</v>
      </c>
      <c r="L2491" s="39"/>
      <c r="M2491" s="39"/>
      <c r="N2491" t="s">
        <v>25</v>
      </c>
      <c r="O2491" t="s">
        <v>302</v>
      </c>
      <c r="P2491">
        <v>0</v>
      </c>
      <c r="Q2491">
        <v>0</v>
      </c>
      <c r="R2491" t="s">
        <v>3180</v>
      </c>
      <c r="S2491" t="s">
        <v>302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45777</v>
      </c>
      <c r="G2492">
        <v>2025</v>
      </c>
      <c r="H2492" t="s">
        <v>1540</v>
      </c>
      <c r="I2492" t="s">
        <v>700</v>
      </c>
      <c r="J2492">
        <v>85</v>
      </c>
      <c r="K2492">
        <v>64.91</v>
      </c>
      <c r="L2492" s="39">
        <f t="shared" ref="L2492:L2523" si="162">IFERROR(IF(OR(J2492=0,K2492=""),"",IF(E2492="Positivo",MIN(MAX(K2492/J2492,0),1.3),MIN(MAX(J2492/K2492,0),1.3))),"")</f>
        <v>0.76364705882352935</v>
      </c>
      <c r="M2492" s="39">
        <f t="shared" ref="M2492:M2523" si="163">IFERROR(IF(OR(J2492=0,K2492=""),"",IF(E2492="Positivo",MAX(K2492/J2492,0),MAX(J2492/K2492,0))),"")</f>
        <v>0.76364705882352935</v>
      </c>
      <c r="N2492" t="s">
        <v>25</v>
      </c>
      <c r="O2492" t="s">
        <v>25</v>
      </c>
      <c r="P2492">
        <v>0</v>
      </c>
      <c r="Q2492">
        <v>0</v>
      </c>
      <c r="R2492" t="s">
        <v>3181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45808</v>
      </c>
      <c r="G2493">
        <v>2025</v>
      </c>
      <c r="H2493" t="s">
        <v>1542</v>
      </c>
      <c r="I2493" t="s">
        <v>700</v>
      </c>
      <c r="J2493">
        <v>85</v>
      </c>
      <c r="K2493">
        <v>67.86</v>
      </c>
      <c r="L2493" s="39">
        <f t="shared" si="162"/>
        <v>0.7983529411764706</v>
      </c>
      <c r="M2493" s="39">
        <f t="shared" si="163"/>
        <v>0.7983529411764706</v>
      </c>
      <c r="N2493" t="s">
        <v>25</v>
      </c>
      <c r="O2493" t="s">
        <v>25</v>
      </c>
      <c r="P2493">
        <v>0</v>
      </c>
      <c r="Q2493">
        <v>0</v>
      </c>
      <c r="R2493" t="s">
        <v>3182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45838</v>
      </c>
      <c r="G2494">
        <v>2025</v>
      </c>
      <c r="H2494" t="s">
        <v>699</v>
      </c>
      <c r="I2494" t="s">
        <v>700</v>
      </c>
      <c r="J2494">
        <v>85</v>
      </c>
      <c r="K2494">
        <v>72.41</v>
      </c>
      <c r="L2494" s="39">
        <f t="shared" si="162"/>
        <v>0.85188235294117642</v>
      </c>
      <c r="M2494" s="39">
        <f t="shared" si="163"/>
        <v>0.85188235294117642</v>
      </c>
      <c r="N2494" t="s">
        <v>25</v>
      </c>
      <c r="O2494" t="s">
        <v>25</v>
      </c>
      <c r="P2494">
        <v>0</v>
      </c>
      <c r="Q2494">
        <v>0</v>
      </c>
      <c r="R2494" t="s">
        <v>3183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45869</v>
      </c>
      <c r="G2495">
        <v>2025</v>
      </c>
      <c r="H2495" t="s">
        <v>260</v>
      </c>
      <c r="I2495" t="s">
        <v>32</v>
      </c>
      <c r="J2495">
        <v>85</v>
      </c>
      <c r="K2495">
        <v>83.54</v>
      </c>
      <c r="L2495" s="39">
        <f t="shared" si="162"/>
        <v>0.98282352941176476</v>
      </c>
      <c r="M2495" s="39">
        <f t="shared" si="163"/>
        <v>0.98282352941176476</v>
      </c>
      <c r="N2495" t="s">
        <v>25</v>
      </c>
      <c r="O2495" t="s">
        <v>25</v>
      </c>
      <c r="P2495">
        <v>0</v>
      </c>
      <c r="Q2495">
        <v>0</v>
      </c>
      <c r="R2495" t="s">
        <v>3184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45900</v>
      </c>
      <c r="G2496">
        <v>2025</v>
      </c>
      <c r="H2496" t="s">
        <v>1546</v>
      </c>
      <c r="I2496" t="s">
        <v>32</v>
      </c>
      <c r="J2496">
        <v>85</v>
      </c>
      <c r="K2496">
        <v>81.010000000000005</v>
      </c>
      <c r="L2496" s="39">
        <f t="shared" si="162"/>
        <v>0.95305882352941185</v>
      </c>
      <c r="M2496" s="39">
        <f t="shared" si="163"/>
        <v>0.95305882352941185</v>
      </c>
      <c r="N2496" t="s">
        <v>25</v>
      </c>
      <c r="O2496" t="s">
        <v>25</v>
      </c>
      <c r="P2496">
        <v>0</v>
      </c>
      <c r="Q2496">
        <v>0</v>
      </c>
      <c r="R2496" t="s">
        <v>3185</v>
      </c>
    </row>
    <row r="2497" spans="1:18" hidden="1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45930</v>
      </c>
      <c r="G2497">
        <v>2025</v>
      </c>
      <c r="H2497" t="s">
        <v>162</v>
      </c>
      <c r="I2497" t="s">
        <v>32</v>
      </c>
      <c r="J2497">
        <v>85</v>
      </c>
      <c r="K2497">
        <v>86.89</v>
      </c>
      <c r="L2497" s="39">
        <f t="shared" si="162"/>
        <v>1.0222352941176471</v>
      </c>
      <c r="M2497" s="39">
        <f t="shared" si="163"/>
        <v>1.0222352941176471</v>
      </c>
      <c r="N2497" t="s">
        <v>25</v>
      </c>
      <c r="O2497" t="s">
        <v>25</v>
      </c>
      <c r="P2497">
        <v>0</v>
      </c>
      <c r="Q2497">
        <v>0</v>
      </c>
      <c r="R2497" t="s">
        <v>3186</v>
      </c>
    </row>
    <row r="2498" spans="1:18" hidden="1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45961</v>
      </c>
      <c r="G2498">
        <v>2025</v>
      </c>
      <c r="H2498" t="s">
        <v>150</v>
      </c>
      <c r="I2498" t="s">
        <v>32</v>
      </c>
      <c r="J2498">
        <v>85</v>
      </c>
      <c r="K2498">
        <v>85.59</v>
      </c>
      <c r="L2498" s="39">
        <f t="shared" si="162"/>
        <v>1.0069411764705882</v>
      </c>
      <c r="M2498" s="39">
        <f t="shared" si="163"/>
        <v>1.0069411764705882</v>
      </c>
      <c r="N2498" t="s">
        <v>25</v>
      </c>
      <c r="O2498" t="s">
        <v>25</v>
      </c>
      <c r="P2498">
        <v>0</v>
      </c>
      <c r="Q2498">
        <v>0</v>
      </c>
      <c r="R2498" t="s">
        <v>3187</v>
      </c>
    </row>
    <row r="2499" spans="1:18" hidden="1" x14ac:dyDescent="0.3">
      <c r="A2499">
        <v>488</v>
      </c>
      <c r="B2499" t="s">
        <v>1369</v>
      </c>
      <c r="C2499" t="s">
        <v>198</v>
      </c>
      <c r="D2499" t="s">
        <v>54</v>
      </c>
      <c r="E2499" t="s">
        <v>22</v>
      </c>
      <c r="F2499" s="79">
        <v>45991</v>
      </c>
      <c r="G2499">
        <v>2025</v>
      </c>
      <c r="H2499" t="s">
        <v>1550</v>
      </c>
      <c r="I2499" t="s">
        <v>32</v>
      </c>
      <c r="J2499">
        <v>85</v>
      </c>
      <c r="K2499">
        <v>75</v>
      </c>
      <c r="L2499" s="39">
        <f t="shared" si="162"/>
        <v>0.88235294117647056</v>
      </c>
      <c r="M2499" s="39">
        <f t="shared" si="163"/>
        <v>0.88235294117647056</v>
      </c>
      <c r="N2499" t="s">
        <v>25</v>
      </c>
      <c r="O2499" t="s">
        <v>25</v>
      </c>
      <c r="P2499">
        <v>0</v>
      </c>
      <c r="Q2499">
        <v>0</v>
      </c>
      <c r="R2499" t="s">
        <v>3188</v>
      </c>
    </row>
    <row r="2500" spans="1:18" hidden="1" x14ac:dyDescent="0.3">
      <c r="A2500">
        <v>488</v>
      </c>
      <c r="B2500" t="s">
        <v>1369</v>
      </c>
      <c r="C2500" t="s">
        <v>198</v>
      </c>
      <c r="D2500" t="s">
        <v>54</v>
      </c>
      <c r="E2500" t="s">
        <v>22</v>
      </c>
      <c r="F2500" s="79">
        <v>46022</v>
      </c>
      <c r="G2500">
        <v>2025</v>
      </c>
      <c r="H2500" t="s">
        <v>23</v>
      </c>
      <c r="I2500" t="s">
        <v>32</v>
      </c>
      <c r="J2500">
        <v>85</v>
      </c>
      <c r="K2500">
        <v>76.739999999999995</v>
      </c>
      <c r="L2500" s="39">
        <f t="shared" si="162"/>
        <v>0.90282352941176469</v>
      </c>
      <c r="M2500" s="39">
        <f t="shared" si="163"/>
        <v>0.90282352941176469</v>
      </c>
      <c r="N2500" t="s">
        <v>25</v>
      </c>
      <c r="O2500" t="s">
        <v>25</v>
      </c>
      <c r="P2500">
        <v>0</v>
      </c>
      <c r="Q2500">
        <v>0</v>
      </c>
      <c r="R2500" t="s">
        <v>1371</v>
      </c>
    </row>
    <row r="2501" spans="1:18" hidden="1" x14ac:dyDescent="0.3">
      <c r="A2501">
        <v>489</v>
      </c>
      <c r="B2501" t="s">
        <v>1373</v>
      </c>
      <c r="C2501" t="s">
        <v>198</v>
      </c>
      <c r="D2501" t="s">
        <v>54</v>
      </c>
      <c r="E2501" t="s">
        <v>22</v>
      </c>
      <c r="F2501" s="79">
        <v>45596</v>
      </c>
      <c r="G2501">
        <v>2024</v>
      </c>
      <c r="H2501" t="s">
        <v>150</v>
      </c>
      <c r="I2501" t="s">
        <v>30</v>
      </c>
      <c r="J2501">
        <v>80</v>
      </c>
      <c r="K2501">
        <v>80</v>
      </c>
      <c r="L2501" s="39">
        <f t="shared" si="162"/>
        <v>1</v>
      </c>
      <c r="M2501" s="39">
        <f t="shared" si="163"/>
        <v>1</v>
      </c>
      <c r="N2501" t="s">
        <v>25</v>
      </c>
      <c r="O2501" t="s">
        <v>25</v>
      </c>
      <c r="P2501">
        <v>0</v>
      </c>
      <c r="Q2501">
        <v>0</v>
      </c>
      <c r="R2501" t="s">
        <v>3189</v>
      </c>
    </row>
    <row r="2502" spans="1:18" hidden="1" x14ac:dyDescent="0.3">
      <c r="A2502">
        <v>489</v>
      </c>
      <c r="B2502" t="s">
        <v>1373</v>
      </c>
      <c r="C2502" t="s">
        <v>198</v>
      </c>
      <c r="D2502" t="s">
        <v>54</v>
      </c>
      <c r="E2502" t="s">
        <v>22</v>
      </c>
      <c r="F2502" s="79">
        <v>45626</v>
      </c>
      <c r="G2502">
        <v>2024</v>
      </c>
      <c r="H2502" t="s">
        <v>1550</v>
      </c>
      <c r="I2502" t="s">
        <v>30</v>
      </c>
      <c r="J2502">
        <v>80</v>
      </c>
      <c r="K2502">
        <v>100</v>
      </c>
      <c r="L2502" s="39">
        <f t="shared" si="162"/>
        <v>1.25</v>
      </c>
      <c r="M2502" s="39">
        <f t="shared" si="163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3190</v>
      </c>
    </row>
    <row r="2503" spans="1:18" hidden="1" x14ac:dyDescent="0.3">
      <c r="A2503">
        <v>489</v>
      </c>
      <c r="B2503" t="s">
        <v>1373</v>
      </c>
      <c r="C2503" t="s">
        <v>198</v>
      </c>
      <c r="D2503" t="s">
        <v>54</v>
      </c>
      <c r="E2503" t="s">
        <v>22</v>
      </c>
      <c r="F2503" s="79">
        <v>45657</v>
      </c>
      <c r="G2503">
        <v>2024</v>
      </c>
      <c r="H2503" t="s">
        <v>23</v>
      </c>
      <c r="I2503" t="s">
        <v>30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1374</v>
      </c>
    </row>
    <row r="2504" spans="1:18" hidden="1" x14ac:dyDescent="0.3">
      <c r="A2504">
        <v>490</v>
      </c>
      <c r="B2504" t="s">
        <v>1375</v>
      </c>
      <c r="C2504" t="s">
        <v>567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88</v>
      </c>
      <c r="L2504" s="39">
        <f t="shared" si="162"/>
        <v>1.1000000000000001</v>
      </c>
      <c r="M2504" s="39">
        <f t="shared" si="163"/>
        <v>1.1000000000000001</v>
      </c>
      <c r="N2504" t="s">
        <v>25</v>
      </c>
      <c r="O2504" t="s">
        <v>25</v>
      </c>
      <c r="P2504">
        <v>0</v>
      </c>
      <c r="Q2504">
        <v>0</v>
      </c>
      <c r="R2504" t="s">
        <v>1376</v>
      </c>
    </row>
    <row r="2505" spans="1:18" hidden="1" x14ac:dyDescent="0.3">
      <c r="A2505">
        <v>490</v>
      </c>
      <c r="B2505" t="s">
        <v>1375</v>
      </c>
      <c r="C2505" t="s">
        <v>567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100</v>
      </c>
      <c r="L2505" s="39">
        <f t="shared" si="162"/>
        <v>1.25</v>
      </c>
      <c r="M2505" s="39">
        <f t="shared" si="163"/>
        <v>1.25</v>
      </c>
      <c r="N2505" t="s">
        <v>25</v>
      </c>
      <c r="O2505" t="s">
        <v>25</v>
      </c>
      <c r="P2505">
        <v>0</v>
      </c>
      <c r="Q2505">
        <v>0</v>
      </c>
      <c r="R2505" t="s">
        <v>1377</v>
      </c>
    </row>
    <row r="2506" spans="1:18" hidden="1" x14ac:dyDescent="0.3">
      <c r="A2506">
        <v>491</v>
      </c>
      <c r="B2506" t="s">
        <v>1378</v>
      </c>
      <c r="C2506" t="s">
        <v>511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88</v>
      </c>
      <c r="L2506" s="39">
        <f t="shared" si="162"/>
        <v>1.1000000000000001</v>
      </c>
      <c r="M2506" s="39">
        <f t="shared" si="163"/>
        <v>1.1000000000000001</v>
      </c>
      <c r="N2506" t="s">
        <v>25</v>
      </c>
      <c r="O2506" t="s">
        <v>25</v>
      </c>
      <c r="P2506">
        <v>0</v>
      </c>
      <c r="Q2506">
        <v>0</v>
      </c>
      <c r="R2506" t="s">
        <v>1379</v>
      </c>
    </row>
    <row r="2507" spans="1:18" hidden="1" x14ac:dyDescent="0.3">
      <c r="A2507">
        <v>491</v>
      </c>
      <c r="B2507" t="s">
        <v>1378</v>
      </c>
      <c r="C2507" t="s">
        <v>511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100</v>
      </c>
      <c r="L2507" s="39">
        <f t="shared" si="162"/>
        <v>1.25</v>
      </c>
      <c r="M2507" s="39">
        <f t="shared" si="163"/>
        <v>1.25</v>
      </c>
      <c r="N2507" t="s">
        <v>25</v>
      </c>
      <c r="O2507" t="s">
        <v>25</v>
      </c>
      <c r="P2507">
        <v>0</v>
      </c>
      <c r="Q2507">
        <v>0</v>
      </c>
      <c r="R2507" t="s">
        <v>1380</v>
      </c>
    </row>
    <row r="2508" spans="1:18" hidden="1" x14ac:dyDescent="0.3">
      <c r="A2508">
        <v>492</v>
      </c>
      <c r="B2508" t="s">
        <v>1381</v>
      </c>
      <c r="C2508" t="s">
        <v>554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83</v>
      </c>
      <c r="L2508" s="39">
        <f t="shared" si="162"/>
        <v>1.0375000000000001</v>
      </c>
      <c r="M2508" s="39">
        <f t="shared" si="163"/>
        <v>1.0375000000000001</v>
      </c>
      <c r="N2508" t="s">
        <v>25</v>
      </c>
      <c r="O2508" t="s">
        <v>25</v>
      </c>
      <c r="P2508">
        <v>0</v>
      </c>
      <c r="Q2508">
        <v>0</v>
      </c>
      <c r="R2508" t="s">
        <v>1382</v>
      </c>
    </row>
    <row r="2509" spans="1:18" hidden="1" x14ac:dyDescent="0.3">
      <c r="A2509">
        <v>492</v>
      </c>
      <c r="B2509" t="s">
        <v>1381</v>
      </c>
      <c r="C2509" t="s">
        <v>554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95</v>
      </c>
      <c r="L2509" s="39">
        <f t="shared" si="162"/>
        <v>1.1875</v>
      </c>
      <c r="M2509" s="39">
        <f t="shared" si="163"/>
        <v>1.1875</v>
      </c>
      <c r="N2509" t="s">
        <v>25</v>
      </c>
      <c r="O2509" t="s">
        <v>25</v>
      </c>
      <c r="P2509">
        <v>0</v>
      </c>
      <c r="Q2509">
        <v>0</v>
      </c>
      <c r="R2509" t="s">
        <v>1383</v>
      </c>
    </row>
    <row r="2510" spans="1:18" hidden="1" x14ac:dyDescent="0.3">
      <c r="A2510">
        <v>493</v>
      </c>
      <c r="B2510" t="s">
        <v>1384</v>
      </c>
      <c r="C2510" t="s">
        <v>595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81</v>
      </c>
      <c r="L2510" s="39">
        <f t="shared" si="162"/>
        <v>1.0125</v>
      </c>
      <c r="M2510" s="39">
        <f t="shared" si="163"/>
        <v>1.0125</v>
      </c>
      <c r="N2510" t="s">
        <v>25</v>
      </c>
      <c r="O2510" t="s">
        <v>25</v>
      </c>
      <c r="P2510">
        <v>0</v>
      </c>
      <c r="Q2510">
        <v>0</v>
      </c>
      <c r="R2510" t="s">
        <v>1385</v>
      </c>
    </row>
    <row r="2511" spans="1:18" hidden="1" x14ac:dyDescent="0.3">
      <c r="A2511">
        <v>493</v>
      </c>
      <c r="B2511" t="s">
        <v>1384</v>
      </c>
      <c r="C2511" t="s">
        <v>595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77</v>
      </c>
      <c r="L2511" s="39">
        <f t="shared" si="162"/>
        <v>0.96250000000000002</v>
      </c>
      <c r="M2511" s="39">
        <f t="shared" si="163"/>
        <v>0.96250000000000002</v>
      </c>
      <c r="N2511" t="s">
        <v>25</v>
      </c>
      <c r="O2511" t="s">
        <v>25</v>
      </c>
      <c r="P2511">
        <v>0</v>
      </c>
      <c r="Q2511">
        <v>0</v>
      </c>
      <c r="R2511" t="s">
        <v>1386</v>
      </c>
    </row>
    <row r="2512" spans="1:18" hidden="1" x14ac:dyDescent="0.3">
      <c r="A2512">
        <v>494</v>
      </c>
      <c r="B2512" t="s">
        <v>1387</v>
      </c>
      <c r="C2512" t="s">
        <v>739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89</v>
      </c>
      <c r="L2512" s="39">
        <f t="shared" si="162"/>
        <v>1.1125</v>
      </c>
      <c r="M2512" s="39">
        <f t="shared" si="163"/>
        <v>1.1125</v>
      </c>
      <c r="N2512" t="s">
        <v>25</v>
      </c>
      <c r="O2512" t="s">
        <v>25</v>
      </c>
      <c r="P2512">
        <v>0</v>
      </c>
      <c r="Q2512">
        <v>0</v>
      </c>
      <c r="R2512" t="s">
        <v>1388</v>
      </c>
    </row>
    <row r="2513" spans="1:19" hidden="1" x14ac:dyDescent="0.3">
      <c r="A2513">
        <v>494</v>
      </c>
      <c r="B2513" t="s">
        <v>1387</v>
      </c>
      <c r="C2513" t="s">
        <v>739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93</v>
      </c>
      <c r="L2513" s="39">
        <f t="shared" si="162"/>
        <v>1.1625000000000001</v>
      </c>
      <c r="M2513" s="39">
        <f t="shared" si="163"/>
        <v>1.1625000000000001</v>
      </c>
      <c r="N2513" t="s">
        <v>25</v>
      </c>
      <c r="O2513" t="s">
        <v>25</v>
      </c>
      <c r="P2513">
        <v>0</v>
      </c>
      <c r="Q2513">
        <v>0</v>
      </c>
      <c r="R2513" t="s">
        <v>1389</v>
      </c>
    </row>
    <row r="2514" spans="1:19" hidden="1" x14ac:dyDescent="0.3">
      <c r="A2514">
        <v>495</v>
      </c>
      <c r="B2514" t="s">
        <v>1390</v>
      </c>
      <c r="C2514" t="s">
        <v>901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92</v>
      </c>
      <c r="L2514" s="39">
        <f t="shared" si="162"/>
        <v>1.1499999999999999</v>
      </c>
      <c r="M2514" s="39">
        <f t="shared" si="163"/>
        <v>1.1499999999999999</v>
      </c>
      <c r="N2514" t="s">
        <v>25</v>
      </c>
      <c r="O2514" t="s">
        <v>25</v>
      </c>
      <c r="P2514">
        <v>0</v>
      </c>
      <c r="Q2514">
        <v>0</v>
      </c>
      <c r="R2514" t="s">
        <v>1391</v>
      </c>
    </row>
    <row r="2515" spans="1:19" hidden="1" x14ac:dyDescent="0.3">
      <c r="A2515">
        <v>495</v>
      </c>
      <c r="B2515" t="s">
        <v>1390</v>
      </c>
      <c r="C2515" t="s">
        <v>901</v>
      </c>
      <c r="D2515" t="s">
        <v>71</v>
      </c>
      <c r="E2515" t="s">
        <v>22</v>
      </c>
      <c r="F2515" s="79">
        <v>46022</v>
      </c>
      <c r="G2515">
        <v>2025</v>
      </c>
      <c r="H2515" t="s">
        <v>23</v>
      </c>
      <c r="I2515" t="s">
        <v>32</v>
      </c>
      <c r="J2515">
        <v>80</v>
      </c>
      <c r="K2515">
        <v>63</v>
      </c>
      <c r="L2515" s="39">
        <f t="shared" si="162"/>
        <v>0.78749999999999998</v>
      </c>
      <c r="M2515" s="39">
        <f t="shared" si="163"/>
        <v>0.78749999999999998</v>
      </c>
      <c r="N2515" t="s">
        <v>25</v>
      </c>
      <c r="O2515" t="s">
        <v>25</v>
      </c>
      <c r="P2515">
        <v>0</v>
      </c>
      <c r="Q2515">
        <v>0</v>
      </c>
      <c r="R2515" t="s">
        <v>1392</v>
      </c>
    </row>
    <row r="2516" spans="1:19" hidden="1" x14ac:dyDescent="0.3">
      <c r="A2516">
        <v>496</v>
      </c>
      <c r="B2516" t="s">
        <v>1393</v>
      </c>
      <c r="C2516" t="s">
        <v>159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88</v>
      </c>
      <c r="L2516" s="39">
        <f t="shared" si="162"/>
        <v>1.1000000000000001</v>
      </c>
      <c r="M2516" s="39">
        <f t="shared" si="163"/>
        <v>1.1000000000000001</v>
      </c>
      <c r="N2516" t="s">
        <v>25</v>
      </c>
      <c r="O2516" t="s">
        <v>25</v>
      </c>
      <c r="P2516">
        <v>0</v>
      </c>
      <c r="Q2516">
        <v>0</v>
      </c>
      <c r="R2516" t="s">
        <v>1394</v>
      </c>
    </row>
    <row r="2517" spans="1:19" hidden="1" x14ac:dyDescent="0.3">
      <c r="A2517">
        <v>496</v>
      </c>
      <c r="B2517" t="s">
        <v>1393</v>
      </c>
      <c r="C2517" t="s">
        <v>159</v>
      </c>
      <c r="D2517" t="s">
        <v>71</v>
      </c>
      <c r="E2517" t="s">
        <v>22</v>
      </c>
      <c r="F2517" s="79">
        <v>46022</v>
      </c>
      <c r="G2517">
        <v>2025</v>
      </c>
      <c r="H2517" t="s">
        <v>23</v>
      </c>
      <c r="I2517" t="s">
        <v>32</v>
      </c>
      <c r="J2517">
        <v>80</v>
      </c>
      <c r="K2517">
        <v>100</v>
      </c>
      <c r="L2517" s="39">
        <f t="shared" si="162"/>
        <v>1.25</v>
      </c>
      <c r="M2517" s="39">
        <f t="shared" si="163"/>
        <v>1.25</v>
      </c>
      <c r="N2517" t="s">
        <v>25</v>
      </c>
      <c r="O2517" t="s">
        <v>25</v>
      </c>
      <c r="P2517">
        <v>0</v>
      </c>
      <c r="Q2517">
        <v>0</v>
      </c>
      <c r="R2517" t="s">
        <v>1395</v>
      </c>
    </row>
    <row r="2518" spans="1:19" hidden="1" x14ac:dyDescent="0.3">
      <c r="A2518">
        <v>497</v>
      </c>
      <c r="B2518" t="s">
        <v>1396</v>
      </c>
      <c r="C2518" t="s">
        <v>927</v>
      </c>
      <c r="D2518" t="s">
        <v>71</v>
      </c>
      <c r="E2518" t="s">
        <v>22</v>
      </c>
      <c r="F2518" s="79">
        <v>45657</v>
      </c>
      <c r="G2518">
        <v>2024</v>
      </c>
      <c r="H2518" t="s">
        <v>23</v>
      </c>
      <c r="I2518" t="s">
        <v>30</v>
      </c>
      <c r="J2518">
        <v>80</v>
      </c>
      <c r="K2518">
        <v>83</v>
      </c>
      <c r="L2518" s="39">
        <f t="shared" si="162"/>
        <v>1.0375000000000001</v>
      </c>
      <c r="M2518" s="39">
        <f t="shared" si="163"/>
        <v>1.0375000000000001</v>
      </c>
      <c r="N2518" t="s">
        <v>25</v>
      </c>
      <c r="O2518" t="s">
        <v>25</v>
      </c>
      <c r="P2518">
        <v>0</v>
      </c>
      <c r="Q2518">
        <v>0</v>
      </c>
      <c r="R2518" t="s">
        <v>1397</v>
      </c>
    </row>
    <row r="2519" spans="1:19" hidden="1" x14ac:dyDescent="0.3">
      <c r="A2519">
        <v>498</v>
      </c>
      <c r="B2519" t="s">
        <v>1398</v>
      </c>
      <c r="C2519" t="s">
        <v>619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92</v>
      </c>
      <c r="L2519" s="39">
        <f t="shared" si="162"/>
        <v>1.1499999999999999</v>
      </c>
      <c r="M2519" s="39">
        <f t="shared" si="163"/>
        <v>1.1499999999999999</v>
      </c>
      <c r="N2519" t="s">
        <v>25</v>
      </c>
      <c r="O2519" t="s">
        <v>25</v>
      </c>
      <c r="P2519">
        <v>0</v>
      </c>
      <c r="Q2519">
        <v>0</v>
      </c>
      <c r="R2519" t="s">
        <v>1399</v>
      </c>
    </row>
    <row r="2520" spans="1:19" hidden="1" x14ac:dyDescent="0.3">
      <c r="A2520">
        <v>498</v>
      </c>
      <c r="B2520" t="s">
        <v>1398</v>
      </c>
      <c r="C2520" t="s">
        <v>619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95</v>
      </c>
      <c r="L2520" s="39">
        <f t="shared" si="162"/>
        <v>1.1875</v>
      </c>
      <c r="M2520" s="39">
        <f t="shared" si="163"/>
        <v>1.1875</v>
      </c>
      <c r="N2520" t="s">
        <v>25</v>
      </c>
      <c r="O2520" t="s">
        <v>25</v>
      </c>
      <c r="P2520">
        <v>0</v>
      </c>
      <c r="Q2520">
        <v>0</v>
      </c>
      <c r="R2520" t="s">
        <v>1400</v>
      </c>
    </row>
    <row r="2521" spans="1:19" hidden="1" x14ac:dyDescent="0.3">
      <c r="A2521">
        <v>499</v>
      </c>
      <c r="B2521" t="s">
        <v>1401</v>
      </c>
      <c r="C2521" t="s">
        <v>922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87</v>
      </c>
      <c r="L2521" s="39">
        <f t="shared" si="162"/>
        <v>1.0874999999999999</v>
      </c>
      <c r="M2521" s="39">
        <f t="shared" si="163"/>
        <v>1.0874999999999999</v>
      </c>
      <c r="N2521" t="s">
        <v>25</v>
      </c>
      <c r="O2521" t="s">
        <v>25</v>
      </c>
      <c r="P2521">
        <v>0</v>
      </c>
      <c r="Q2521">
        <v>0</v>
      </c>
      <c r="R2521" t="s">
        <v>1402</v>
      </c>
    </row>
    <row r="2522" spans="1:19" hidden="1" x14ac:dyDescent="0.3">
      <c r="A2522">
        <v>499</v>
      </c>
      <c r="B2522" t="s">
        <v>1401</v>
      </c>
      <c r="C2522" t="s">
        <v>922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L2522" s="39" t="str">
        <f t="shared" si="162"/>
        <v/>
      </c>
      <c r="M2522" s="39" t="str">
        <f t="shared" si="163"/>
        <v/>
      </c>
      <c r="N2522" t="s">
        <v>25</v>
      </c>
      <c r="O2522" t="s">
        <v>25</v>
      </c>
      <c r="P2522">
        <v>0</v>
      </c>
      <c r="Q2522">
        <v>0</v>
      </c>
      <c r="R2522" t="s">
        <v>1403</v>
      </c>
      <c r="S2522" t="s">
        <v>302</v>
      </c>
    </row>
    <row r="2523" spans="1:19" hidden="1" x14ac:dyDescent="0.3">
      <c r="A2523">
        <v>500</v>
      </c>
      <c r="B2523" t="s">
        <v>1404</v>
      </c>
      <c r="C2523" t="s">
        <v>753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89</v>
      </c>
      <c r="L2523" s="39">
        <f t="shared" si="162"/>
        <v>1.1125</v>
      </c>
      <c r="M2523" s="39">
        <f t="shared" si="163"/>
        <v>1.1125</v>
      </c>
      <c r="N2523" t="s">
        <v>25</v>
      </c>
      <c r="O2523" t="s">
        <v>25</v>
      </c>
      <c r="P2523">
        <v>0</v>
      </c>
      <c r="Q2523">
        <v>0</v>
      </c>
      <c r="R2523" t="s">
        <v>1405</v>
      </c>
    </row>
    <row r="2524" spans="1:19" hidden="1" x14ac:dyDescent="0.3">
      <c r="A2524">
        <v>500</v>
      </c>
      <c r="B2524" t="s">
        <v>1404</v>
      </c>
      <c r="C2524" t="s">
        <v>753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100</v>
      </c>
      <c r="L2524" s="39">
        <f t="shared" ref="L2524:L2554" si="164">IFERROR(IF(OR(J2524=0,K2524=""),"",IF(E2524="Positivo",MIN(MAX(K2524/J2524,0),1.3),MIN(MAX(J2524/K2524,0),1.3))),"")</f>
        <v>1.25</v>
      </c>
      <c r="M2524" s="39">
        <f t="shared" ref="M2524:M2554" si="165">IFERROR(IF(OR(J2524=0,K2524=""),"",IF(E2524="Positivo",MAX(K2524/J2524,0),MAX(J2524/K2524,0))),"")</f>
        <v>1.25</v>
      </c>
      <c r="N2524" t="s">
        <v>25</v>
      </c>
      <c r="O2524" t="s">
        <v>25</v>
      </c>
      <c r="P2524">
        <v>0</v>
      </c>
      <c r="Q2524">
        <v>0</v>
      </c>
      <c r="R2524" t="s">
        <v>1406</v>
      </c>
    </row>
    <row r="2525" spans="1:19" hidden="1" x14ac:dyDescent="0.3">
      <c r="A2525">
        <v>501</v>
      </c>
      <c r="B2525" t="s">
        <v>1407</v>
      </c>
      <c r="C2525" t="s">
        <v>549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88</v>
      </c>
      <c r="L2525" s="39">
        <f t="shared" si="164"/>
        <v>1.1000000000000001</v>
      </c>
      <c r="M2525" s="39">
        <f t="shared" si="165"/>
        <v>1.1000000000000001</v>
      </c>
      <c r="N2525" t="s">
        <v>25</v>
      </c>
      <c r="O2525" t="s">
        <v>25</v>
      </c>
      <c r="P2525">
        <v>0</v>
      </c>
      <c r="Q2525">
        <v>0</v>
      </c>
      <c r="R2525" t="s">
        <v>1408</v>
      </c>
    </row>
    <row r="2526" spans="1:19" hidden="1" x14ac:dyDescent="0.3">
      <c r="A2526">
        <v>501</v>
      </c>
      <c r="B2526" t="s">
        <v>1407</v>
      </c>
      <c r="C2526" t="s">
        <v>549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100</v>
      </c>
      <c r="L2526" s="39">
        <f t="shared" si="164"/>
        <v>1.25</v>
      </c>
      <c r="M2526" s="39">
        <f t="shared" si="165"/>
        <v>1.25</v>
      </c>
      <c r="N2526" t="s">
        <v>25</v>
      </c>
      <c r="O2526" t="s">
        <v>25</v>
      </c>
      <c r="P2526">
        <v>0</v>
      </c>
      <c r="Q2526">
        <v>0</v>
      </c>
      <c r="R2526" t="s">
        <v>1409</v>
      </c>
    </row>
    <row r="2527" spans="1:19" hidden="1" x14ac:dyDescent="0.3">
      <c r="A2527">
        <v>502</v>
      </c>
      <c r="B2527" t="s">
        <v>1410</v>
      </c>
      <c r="C2527" t="s">
        <v>274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90</v>
      </c>
      <c r="L2527" s="39">
        <f t="shared" si="164"/>
        <v>1.125</v>
      </c>
      <c r="M2527" s="39">
        <f t="shared" si="165"/>
        <v>1.125</v>
      </c>
      <c r="N2527" t="s">
        <v>25</v>
      </c>
      <c r="O2527" t="s">
        <v>25</v>
      </c>
      <c r="P2527">
        <v>0</v>
      </c>
      <c r="Q2527">
        <v>0</v>
      </c>
      <c r="R2527" t="s">
        <v>1411</v>
      </c>
    </row>
    <row r="2528" spans="1:19" hidden="1" x14ac:dyDescent="0.3">
      <c r="A2528">
        <v>502</v>
      </c>
      <c r="B2528" t="s">
        <v>1410</v>
      </c>
      <c r="C2528" t="s">
        <v>274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97</v>
      </c>
      <c r="L2528" s="39">
        <f t="shared" si="164"/>
        <v>1.2124999999999999</v>
      </c>
      <c r="M2528" s="39">
        <f t="shared" si="165"/>
        <v>1.2124999999999999</v>
      </c>
      <c r="N2528" t="s">
        <v>25</v>
      </c>
      <c r="O2528" t="s">
        <v>25</v>
      </c>
      <c r="P2528">
        <v>0</v>
      </c>
      <c r="Q2528">
        <v>0</v>
      </c>
      <c r="R2528" t="s">
        <v>1412</v>
      </c>
    </row>
    <row r="2529" spans="1:18" hidden="1" x14ac:dyDescent="0.3">
      <c r="A2529">
        <v>503</v>
      </c>
      <c r="B2529" t="s">
        <v>1413</v>
      </c>
      <c r="C2529" t="s">
        <v>1059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86</v>
      </c>
      <c r="L2529" s="39">
        <f t="shared" si="164"/>
        <v>1.075</v>
      </c>
      <c r="M2529" s="39">
        <f t="shared" si="165"/>
        <v>1.075</v>
      </c>
      <c r="N2529" t="s">
        <v>25</v>
      </c>
      <c r="O2529" t="s">
        <v>25</v>
      </c>
      <c r="P2529">
        <v>0</v>
      </c>
      <c r="Q2529">
        <v>0</v>
      </c>
      <c r="R2529" t="s">
        <v>1414</v>
      </c>
    </row>
    <row r="2530" spans="1:18" hidden="1" x14ac:dyDescent="0.3">
      <c r="A2530">
        <v>503</v>
      </c>
      <c r="B2530" t="s">
        <v>1413</v>
      </c>
      <c r="C2530" t="s">
        <v>1059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94</v>
      </c>
      <c r="L2530" s="39">
        <f t="shared" si="164"/>
        <v>1.175</v>
      </c>
      <c r="M2530" s="39">
        <f t="shared" si="165"/>
        <v>1.175</v>
      </c>
      <c r="N2530" t="s">
        <v>25</v>
      </c>
      <c r="O2530" t="s">
        <v>25</v>
      </c>
      <c r="P2530">
        <v>0</v>
      </c>
      <c r="Q2530">
        <v>0</v>
      </c>
      <c r="R2530" t="s">
        <v>1415</v>
      </c>
    </row>
    <row r="2531" spans="1:18" hidden="1" x14ac:dyDescent="0.3">
      <c r="A2531">
        <v>504</v>
      </c>
      <c r="B2531" t="s">
        <v>1416</v>
      </c>
      <c r="C2531" t="s">
        <v>1110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88</v>
      </c>
      <c r="L2531" s="39">
        <f t="shared" si="164"/>
        <v>1.1000000000000001</v>
      </c>
      <c r="M2531" s="39">
        <f t="shared" si="165"/>
        <v>1.1000000000000001</v>
      </c>
      <c r="N2531" t="s">
        <v>25</v>
      </c>
      <c r="O2531" t="s">
        <v>25</v>
      </c>
      <c r="P2531">
        <v>0</v>
      </c>
      <c r="Q2531">
        <v>0</v>
      </c>
      <c r="R2531" t="s">
        <v>1417</v>
      </c>
    </row>
    <row r="2532" spans="1:18" hidden="1" x14ac:dyDescent="0.3">
      <c r="A2532">
        <v>504</v>
      </c>
      <c r="B2532" t="s">
        <v>1416</v>
      </c>
      <c r="C2532" t="s">
        <v>1110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88</v>
      </c>
      <c r="L2532" s="39">
        <f t="shared" si="164"/>
        <v>1.1000000000000001</v>
      </c>
      <c r="M2532" s="39">
        <f t="shared" si="165"/>
        <v>1.1000000000000001</v>
      </c>
      <c r="N2532" t="s">
        <v>25</v>
      </c>
      <c r="O2532" t="s">
        <v>25</v>
      </c>
      <c r="P2532">
        <v>0</v>
      </c>
      <c r="Q2532">
        <v>0</v>
      </c>
      <c r="R2532" t="s">
        <v>1418</v>
      </c>
    </row>
    <row r="2533" spans="1:18" hidden="1" x14ac:dyDescent="0.3">
      <c r="A2533">
        <v>505</v>
      </c>
      <c r="B2533" t="s">
        <v>1419</v>
      </c>
      <c r="C2533" t="s">
        <v>1183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85</v>
      </c>
      <c r="L2533" s="39">
        <f t="shared" si="164"/>
        <v>1.0625</v>
      </c>
      <c r="M2533" s="39">
        <f t="shared" si="165"/>
        <v>1.0625</v>
      </c>
      <c r="N2533" t="s">
        <v>25</v>
      </c>
      <c r="O2533" t="s">
        <v>25</v>
      </c>
      <c r="P2533">
        <v>0</v>
      </c>
      <c r="Q2533">
        <v>0</v>
      </c>
      <c r="R2533" t="s">
        <v>1420</v>
      </c>
    </row>
    <row r="2534" spans="1:18" hidden="1" x14ac:dyDescent="0.3">
      <c r="A2534">
        <v>505</v>
      </c>
      <c r="B2534" t="s">
        <v>1419</v>
      </c>
      <c r="C2534" t="s">
        <v>1183</v>
      </c>
      <c r="D2534" t="s">
        <v>71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80</v>
      </c>
      <c r="K2534">
        <v>86</v>
      </c>
      <c r="L2534" s="39">
        <f t="shared" si="164"/>
        <v>1.075</v>
      </c>
      <c r="M2534" s="39">
        <f t="shared" si="165"/>
        <v>1.075</v>
      </c>
      <c r="N2534" t="s">
        <v>25</v>
      </c>
      <c r="O2534" t="s">
        <v>25</v>
      </c>
      <c r="P2534">
        <v>0</v>
      </c>
      <c r="Q2534">
        <v>0</v>
      </c>
      <c r="R2534" t="s">
        <v>1421</v>
      </c>
    </row>
    <row r="2535" spans="1:18" hidden="1" x14ac:dyDescent="0.3">
      <c r="A2535">
        <v>506</v>
      </c>
      <c r="B2535" t="s">
        <v>1422</v>
      </c>
      <c r="C2535" t="s">
        <v>941</v>
      </c>
      <c r="D2535" t="s">
        <v>71</v>
      </c>
      <c r="E2535" t="s">
        <v>22</v>
      </c>
      <c r="F2535" s="79">
        <v>45657</v>
      </c>
      <c r="G2535">
        <v>2024</v>
      </c>
      <c r="H2535" t="s">
        <v>23</v>
      </c>
      <c r="I2535" t="s">
        <v>30</v>
      </c>
      <c r="J2535">
        <v>80</v>
      </c>
      <c r="K2535">
        <v>67</v>
      </c>
      <c r="L2535" s="39">
        <f t="shared" si="164"/>
        <v>0.83750000000000002</v>
      </c>
      <c r="M2535" s="39">
        <f t="shared" si="165"/>
        <v>0.83750000000000002</v>
      </c>
      <c r="N2535" t="s">
        <v>25</v>
      </c>
      <c r="O2535" t="s">
        <v>25</v>
      </c>
      <c r="P2535">
        <v>0</v>
      </c>
      <c r="Q2535">
        <v>0</v>
      </c>
      <c r="R2535" t="s">
        <v>1423</v>
      </c>
    </row>
    <row r="2536" spans="1:18" hidden="1" x14ac:dyDescent="0.3">
      <c r="A2536">
        <v>506</v>
      </c>
      <c r="B2536" t="s">
        <v>1422</v>
      </c>
      <c r="C2536" t="s">
        <v>941</v>
      </c>
      <c r="D2536" t="s">
        <v>21</v>
      </c>
      <c r="E2536" t="s">
        <v>22</v>
      </c>
      <c r="F2536" s="79">
        <v>45838</v>
      </c>
      <c r="G2536">
        <v>2025</v>
      </c>
      <c r="H2536" t="s">
        <v>699</v>
      </c>
      <c r="I2536" t="s">
        <v>700</v>
      </c>
      <c r="J2536">
        <v>80</v>
      </c>
      <c r="K2536">
        <v>95</v>
      </c>
      <c r="L2536" s="39">
        <f t="shared" si="164"/>
        <v>1.1875</v>
      </c>
      <c r="M2536" s="39">
        <f t="shared" si="165"/>
        <v>1.1875</v>
      </c>
      <c r="N2536" t="s">
        <v>25</v>
      </c>
      <c r="O2536" t="s">
        <v>25</v>
      </c>
      <c r="P2536">
        <v>0</v>
      </c>
      <c r="Q2536">
        <v>0</v>
      </c>
      <c r="R2536" t="s">
        <v>3191</v>
      </c>
    </row>
    <row r="2537" spans="1:18" hidden="1" x14ac:dyDescent="0.3">
      <c r="A2537">
        <v>506</v>
      </c>
      <c r="B2537" t="s">
        <v>1422</v>
      </c>
      <c r="C2537" t="s">
        <v>941</v>
      </c>
      <c r="D2537" t="s">
        <v>21</v>
      </c>
      <c r="E2537" t="s">
        <v>22</v>
      </c>
      <c r="F2537" s="79">
        <v>46022</v>
      </c>
      <c r="G2537">
        <v>2025</v>
      </c>
      <c r="H2537" t="s">
        <v>23</v>
      </c>
      <c r="I2537" t="s">
        <v>32</v>
      </c>
      <c r="J2537">
        <v>80</v>
      </c>
      <c r="K2537">
        <v>92.5</v>
      </c>
      <c r="L2537" s="39">
        <f t="shared" si="164"/>
        <v>1.15625</v>
      </c>
      <c r="M2537" s="39">
        <f t="shared" si="165"/>
        <v>1.15625</v>
      </c>
      <c r="N2537" t="s">
        <v>25</v>
      </c>
      <c r="O2537" t="s">
        <v>25</v>
      </c>
      <c r="P2537">
        <v>0</v>
      </c>
      <c r="Q2537">
        <v>0</v>
      </c>
      <c r="R2537" t="s">
        <v>1424</v>
      </c>
    </row>
    <row r="2538" spans="1:18" hidden="1" x14ac:dyDescent="0.3">
      <c r="A2538">
        <v>507</v>
      </c>
      <c r="B2538" t="s">
        <v>1425</v>
      </c>
      <c r="C2538" t="s">
        <v>711</v>
      </c>
      <c r="D2538" t="s">
        <v>71</v>
      </c>
      <c r="E2538" t="s">
        <v>22</v>
      </c>
      <c r="F2538" s="79">
        <v>45657</v>
      </c>
      <c r="G2538">
        <v>2024</v>
      </c>
      <c r="H2538" t="s">
        <v>23</v>
      </c>
      <c r="I2538" t="s">
        <v>30</v>
      </c>
      <c r="J2538">
        <v>80</v>
      </c>
      <c r="K2538">
        <v>77</v>
      </c>
      <c r="L2538" s="39">
        <f t="shared" si="164"/>
        <v>0.96250000000000002</v>
      </c>
      <c r="M2538" s="39">
        <f t="shared" si="165"/>
        <v>0.96250000000000002</v>
      </c>
      <c r="N2538" t="s">
        <v>25</v>
      </c>
      <c r="O2538" t="s">
        <v>25</v>
      </c>
      <c r="P2538">
        <v>0</v>
      </c>
      <c r="Q2538">
        <v>0</v>
      </c>
      <c r="R2538" t="s">
        <v>1426</v>
      </c>
    </row>
    <row r="2539" spans="1:18" hidden="1" x14ac:dyDescent="0.3">
      <c r="A2539">
        <v>507</v>
      </c>
      <c r="B2539" t="s">
        <v>1425</v>
      </c>
      <c r="C2539" t="s">
        <v>711</v>
      </c>
      <c r="D2539" t="s">
        <v>21</v>
      </c>
      <c r="E2539" t="s">
        <v>22</v>
      </c>
      <c r="F2539" s="79">
        <v>45838</v>
      </c>
      <c r="G2539">
        <v>2025</v>
      </c>
      <c r="H2539" t="s">
        <v>699</v>
      </c>
      <c r="I2539" t="s">
        <v>700</v>
      </c>
      <c r="J2539">
        <v>80</v>
      </c>
      <c r="K2539">
        <v>98.75</v>
      </c>
      <c r="L2539" s="39">
        <f t="shared" si="164"/>
        <v>1.234375</v>
      </c>
      <c r="M2539" s="39">
        <f t="shared" si="165"/>
        <v>1.234375</v>
      </c>
      <c r="N2539" t="s">
        <v>25</v>
      </c>
      <c r="O2539" t="s">
        <v>25</v>
      </c>
      <c r="P2539">
        <v>0</v>
      </c>
      <c r="Q2539">
        <v>0</v>
      </c>
      <c r="R2539" t="s">
        <v>3192</v>
      </c>
    </row>
    <row r="2540" spans="1:18" hidden="1" x14ac:dyDescent="0.3">
      <c r="A2540">
        <v>507</v>
      </c>
      <c r="B2540" t="s">
        <v>1425</v>
      </c>
      <c r="C2540" t="s">
        <v>711</v>
      </c>
      <c r="D2540" t="s">
        <v>21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99</v>
      </c>
      <c r="L2540" s="39">
        <f t="shared" si="164"/>
        <v>1.2375</v>
      </c>
      <c r="M2540" s="39">
        <f t="shared" si="165"/>
        <v>1.2375</v>
      </c>
      <c r="N2540" t="s">
        <v>25</v>
      </c>
      <c r="O2540" t="s">
        <v>25</v>
      </c>
      <c r="P2540">
        <v>0</v>
      </c>
      <c r="Q2540">
        <v>0</v>
      </c>
      <c r="R2540" t="s">
        <v>1427</v>
      </c>
    </row>
    <row r="2541" spans="1:18" hidden="1" x14ac:dyDescent="0.3">
      <c r="A2541">
        <v>508</v>
      </c>
      <c r="B2541" t="s">
        <v>1428</v>
      </c>
      <c r="C2541" t="s">
        <v>1089</v>
      </c>
      <c r="D2541" t="s">
        <v>71</v>
      </c>
      <c r="E2541" t="s">
        <v>22</v>
      </c>
      <c r="F2541" s="79">
        <v>45657</v>
      </c>
      <c r="G2541">
        <v>2024</v>
      </c>
      <c r="H2541" t="s">
        <v>23</v>
      </c>
      <c r="I2541" t="s">
        <v>30</v>
      </c>
      <c r="J2541">
        <v>80</v>
      </c>
      <c r="K2541">
        <v>88</v>
      </c>
      <c r="L2541" s="39">
        <f t="shared" si="164"/>
        <v>1.1000000000000001</v>
      </c>
      <c r="M2541" s="39">
        <f t="shared" si="165"/>
        <v>1.1000000000000001</v>
      </c>
      <c r="N2541" t="s">
        <v>25</v>
      </c>
      <c r="O2541" t="s">
        <v>25</v>
      </c>
      <c r="P2541">
        <v>0</v>
      </c>
      <c r="Q2541">
        <v>0</v>
      </c>
      <c r="R2541" t="s">
        <v>1429</v>
      </c>
    </row>
    <row r="2542" spans="1:18" hidden="1" x14ac:dyDescent="0.3">
      <c r="A2542">
        <v>508</v>
      </c>
      <c r="B2542" t="s">
        <v>1428</v>
      </c>
      <c r="C2542" t="s">
        <v>1089</v>
      </c>
      <c r="D2542" t="s">
        <v>71</v>
      </c>
      <c r="E2542" t="s">
        <v>22</v>
      </c>
      <c r="F2542" s="79">
        <v>46022</v>
      </c>
      <c r="G2542">
        <v>2025</v>
      </c>
      <c r="H2542" t="s">
        <v>23</v>
      </c>
      <c r="I2542" t="s">
        <v>32</v>
      </c>
      <c r="J2542">
        <v>80</v>
      </c>
      <c r="K2542">
        <v>89</v>
      </c>
      <c r="L2542" s="39">
        <f t="shared" si="164"/>
        <v>1.1125</v>
      </c>
      <c r="M2542" s="39">
        <f t="shared" si="165"/>
        <v>1.1125</v>
      </c>
      <c r="N2542" t="s">
        <v>25</v>
      </c>
      <c r="O2542" t="s">
        <v>25</v>
      </c>
      <c r="P2542">
        <v>0</v>
      </c>
      <c r="Q2542">
        <v>0</v>
      </c>
      <c r="R2542" t="s">
        <v>1430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45688</v>
      </c>
      <c r="G2543">
        <v>2025</v>
      </c>
      <c r="H2543" t="s">
        <v>59</v>
      </c>
      <c r="I2543" t="s">
        <v>700</v>
      </c>
      <c r="J2543">
        <v>90</v>
      </c>
      <c r="K2543">
        <v>99.45</v>
      </c>
      <c r="L2543" s="39">
        <f t="shared" si="164"/>
        <v>1.105</v>
      </c>
      <c r="M2543" s="39">
        <f t="shared" si="165"/>
        <v>1.105</v>
      </c>
      <c r="N2543" t="s">
        <v>25</v>
      </c>
      <c r="O2543" t="s">
        <v>25</v>
      </c>
      <c r="P2543">
        <v>0</v>
      </c>
      <c r="Q2543">
        <v>0</v>
      </c>
      <c r="R2543" t="s">
        <v>3193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45716</v>
      </c>
      <c r="G2544">
        <v>2025</v>
      </c>
      <c r="H2544" t="s">
        <v>210</v>
      </c>
      <c r="I2544" t="s">
        <v>700</v>
      </c>
      <c r="J2544">
        <v>90</v>
      </c>
      <c r="K2544">
        <v>98.65</v>
      </c>
      <c r="L2544" s="39">
        <f t="shared" si="164"/>
        <v>1.0961111111111113</v>
      </c>
      <c r="M2544" s="39">
        <f t="shared" si="165"/>
        <v>1.0961111111111113</v>
      </c>
      <c r="N2544" t="s">
        <v>25</v>
      </c>
      <c r="O2544" t="s">
        <v>25</v>
      </c>
      <c r="P2544">
        <v>0</v>
      </c>
      <c r="Q2544">
        <v>0</v>
      </c>
      <c r="R2544" t="s">
        <v>3194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45747</v>
      </c>
      <c r="G2545">
        <v>2025</v>
      </c>
      <c r="H2545" t="s">
        <v>1516</v>
      </c>
      <c r="I2545" t="s">
        <v>700</v>
      </c>
      <c r="J2545">
        <v>90</v>
      </c>
      <c r="K2545">
        <v>94.49</v>
      </c>
      <c r="L2545" s="39">
        <f t="shared" si="164"/>
        <v>1.0498888888888889</v>
      </c>
      <c r="M2545" s="39">
        <f t="shared" si="165"/>
        <v>1.0498888888888889</v>
      </c>
      <c r="N2545" t="s">
        <v>25</v>
      </c>
      <c r="O2545" t="s">
        <v>25</v>
      </c>
      <c r="P2545">
        <v>0</v>
      </c>
      <c r="Q2545">
        <v>0</v>
      </c>
      <c r="R2545" t="s">
        <v>3195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45777</v>
      </c>
      <c r="G2546">
        <v>2025</v>
      </c>
      <c r="H2546" t="s">
        <v>1540</v>
      </c>
      <c r="I2546" t="s">
        <v>700</v>
      </c>
      <c r="J2546">
        <v>90</v>
      </c>
      <c r="K2546">
        <v>93.88</v>
      </c>
      <c r="L2546" s="39">
        <f t="shared" si="164"/>
        <v>1.0431111111111111</v>
      </c>
      <c r="M2546" s="39">
        <f t="shared" si="165"/>
        <v>1.0431111111111111</v>
      </c>
      <c r="N2546" t="s">
        <v>25</v>
      </c>
      <c r="O2546" t="s">
        <v>25</v>
      </c>
      <c r="P2546">
        <v>0</v>
      </c>
      <c r="Q2546">
        <v>0</v>
      </c>
      <c r="R2546" t="s">
        <v>3196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45808</v>
      </c>
      <c r="G2547">
        <v>2025</v>
      </c>
      <c r="H2547" t="s">
        <v>1542</v>
      </c>
      <c r="I2547" t="s">
        <v>700</v>
      </c>
      <c r="J2547">
        <v>90</v>
      </c>
      <c r="K2547">
        <v>93.8</v>
      </c>
      <c r="L2547" s="39">
        <f t="shared" si="164"/>
        <v>1.0422222222222222</v>
      </c>
      <c r="M2547" s="39">
        <f t="shared" si="165"/>
        <v>1.0422222222222222</v>
      </c>
      <c r="N2547" t="s">
        <v>25</v>
      </c>
      <c r="O2547" t="s">
        <v>25</v>
      </c>
      <c r="P2547">
        <v>0</v>
      </c>
      <c r="Q2547">
        <v>0</v>
      </c>
      <c r="R2547" t="s">
        <v>3197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45838</v>
      </c>
      <c r="G2548">
        <v>2025</v>
      </c>
      <c r="H2548" t="s">
        <v>699</v>
      </c>
      <c r="I2548" t="s">
        <v>700</v>
      </c>
      <c r="J2548">
        <v>90</v>
      </c>
      <c r="K2548">
        <v>100.59</v>
      </c>
      <c r="L2548" s="39">
        <f t="shared" si="164"/>
        <v>1.1176666666666668</v>
      </c>
      <c r="M2548" s="39">
        <f t="shared" si="165"/>
        <v>1.1176666666666668</v>
      </c>
      <c r="N2548" t="s">
        <v>25</v>
      </c>
      <c r="O2548" t="s">
        <v>25</v>
      </c>
      <c r="P2548">
        <v>0</v>
      </c>
      <c r="Q2548">
        <v>0</v>
      </c>
      <c r="R2548" t="s">
        <v>3198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45869</v>
      </c>
      <c r="G2549">
        <v>2025</v>
      </c>
      <c r="H2549" t="s">
        <v>260</v>
      </c>
      <c r="I2549" t="s">
        <v>32</v>
      </c>
      <c r="J2549">
        <v>90</v>
      </c>
      <c r="K2549">
        <v>96.04</v>
      </c>
      <c r="L2549" s="39">
        <f t="shared" si="164"/>
        <v>1.0671111111111111</v>
      </c>
      <c r="M2549" s="39">
        <f t="shared" si="165"/>
        <v>1.0671111111111111</v>
      </c>
      <c r="N2549" t="s">
        <v>25</v>
      </c>
      <c r="O2549" t="s">
        <v>25</v>
      </c>
      <c r="P2549">
        <v>0</v>
      </c>
      <c r="Q2549">
        <v>0</v>
      </c>
      <c r="R2549" t="s">
        <v>3199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45900</v>
      </c>
      <c r="G2550">
        <v>2025</v>
      </c>
      <c r="H2550" t="s">
        <v>1546</v>
      </c>
      <c r="I2550" t="s">
        <v>32</v>
      </c>
      <c r="J2550">
        <v>90</v>
      </c>
      <c r="K2550">
        <v>91.52</v>
      </c>
      <c r="L2550" s="39">
        <f t="shared" si="164"/>
        <v>1.016888888888889</v>
      </c>
      <c r="M2550" s="39">
        <f t="shared" si="165"/>
        <v>1.016888888888889</v>
      </c>
      <c r="N2550" t="s">
        <v>25</v>
      </c>
      <c r="O2550" t="s">
        <v>25</v>
      </c>
      <c r="P2550">
        <v>0</v>
      </c>
      <c r="Q2550">
        <v>0</v>
      </c>
      <c r="R2550" t="s">
        <v>3200</v>
      </c>
    </row>
    <row r="2551" spans="1:18" hidden="1" x14ac:dyDescent="0.3">
      <c r="A2551">
        <v>509</v>
      </c>
      <c r="B2551" t="s">
        <v>1431</v>
      </c>
      <c r="C2551" t="s">
        <v>511</v>
      </c>
      <c r="D2551" t="s">
        <v>54</v>
      </c>
      <c r="E2551" t="s">
        <v>22</v>
      </c>
      <c r="F2551" s="79">
        <v>45930</v>
      </c>
      <c r="G2551">
        <v>2025</v>
      </c>
      <c r="H2551" t="s">
        <v>162</v>
      </c>
      <c r="I2551" t="s">
        <v>32</v>
      </c>
      <c r="J2551">
        <v>90</v>
      </c>
      <c r="K2551">
        <v>96.67</v>
      </c>
      <c r="L2551" s="39">
        <f t="shared" si="164"/>
        <v>1.0741111111111112</v>
      </c>
      <c r="M2551" s="39">
        <f t="shared" si="165"/>
        <v>1.0741111111111112</v>
      </c>
      <c r="N2551" t="s">
        <v>25</v>
      </c>
      <c r="O2551" t="s">
        <v>25</v>
      </c>
      <c r="P2551">
        <v>0</v>
      </c>
      <c r="Q2551">
        <v>0</v>
      </c>
      <c r="R2551" t="s">
        <v>3201</v>
      </c>
    </row>
    <row r="2552" spans="1:18" hidden="1" x14ac:dyDescent="0.3">
      <c r="A2552">
        <v>509</v>
      </c>
      <c r="B2552" t="s">
        <v>1431</v>
      </c>
      <c r="C2552" t="s">
        <v>511</v>
      </c>
      <c r="D2552" t="s">
        <v>54</v>
      </c>
      <c r="E2552" t="s">
        <v>22</v>
      </c>
      <c r="F2552" s="79">
        <v>45961</v>
      </c>
      <c r="G2552">
        <v>2025</v>
      </c>
      <c r="H2552" t="s">
        <v>150</v>
      </c>
      <c r="I2552" t="s">
        <v>32</v>
      </c>
      <c r="J2552">
        <v>90</v>
      </c>
      <c r="K2552">
        <v>91.81</v>
      </c>
      <c r="L2552" s="39">
        <f t="shared" si="164"/>
        <v>1.0201111111111112</v>
      </c>
      <c r="M2552" s="39">
        <f t="shared" si="165"/>
        <v>1.0201111111111112</v>
      </c>
      <c r="N2552" t="s">
        <v>25</v>
      </c>
      <c r="O2552" t="s">
        <v>25</v>
      </c>
      <c r="P2552">
        <v>0</v>
      </c>
      <c r="Q2552">
        <v>0</v>
      </c>
      <c r="R2552" t="s">
        <v>3202</v>
      </c>
    </row>
    <row r="2553" spans="1:18" hidden="1" x14ac:dyDescent="0.3">
      <c r="A2553">
        <v>509</v>
      </c>
      <c r="B2553" t="s">
        <v>1431</v>
      </c>
      <c r="C2553" t="s">
        <v>511</v>
      </c>
      <c r="D2553" t="s">
        <v>54</v>
      </c>
      <c r="E2553" t="s">
        <v>22</v>
      </c>
      <c r="F2553" s="79">
        <v>45991</v>
      </c>
      <c r="G2553">
        <v>2025</v>
      </c>
      <c r="H2553" t="s">
        <v>1550</v>
      </c>
      <c r="I2553" t="s">
        <v>32</v>
      </c>
      <c r="J2553">
        <v>90</v>
      </c>
      <c r="K2553">
        <v>96.99</v>
      </c>
      <c r="L2553" s="39">
        <f t="shared" si="164"/>
        <v>1.0776666666666666</v>
      </c>
      <c r="M2553" s="39">
        <f t="shared" si="165"/>
        <v>1.0776666666666666</v>
      </c>
      <c r="N2553" t="s">
        <v>25</v>
      </c>
      <c r="O2553" t="s">
        <v>25</v>
      </c>
      <c r="P2553">
        <v>0</v>
      </c>
      <c r="Q2553">
        <v>0</v>
      </c>
      <c r="R2553" t="s">
        <v>3203</v>
      </c>
    </row>
    <row r="2554" spans="1:18" hidden="1" x14ac:dyDescent="0.3">
      <c r="A2554">
        <v>509</v>
      </c>
      <c r="B2554" t="s">
        <v>1431</v>
      </c>
      <c r="C2554" t="s">
        <v>511</v>
      </c>
      <c r="D2554" t="s">
        <v>54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J2554">
        <v>90</v>
      </c>
      <c r="K2554">
        <v>97.33</v>
      </c>
      <c r="L2554" s="39">
        <f t="shared" si="164"/>
        <v>1.0814444444444444</v>
      </c>
      <c r="M2554" s="39">
        <f t="shared" si="165"/>
        <v>1.0814444444444444</v>
      </c>
      <c r="N2554" t="s">
        <v>25</v>
      </c>
      <c r="O2554" t="s">
        <v>25</v>
      </c>
      <c r="P2554">
        <v>0</v>
      </c>
      <c r="Q2554">
        <v>0</v>
      </c>
      <c r="R2554" t="s">
        <v>1432</v>
      </c>
    </row>
    <row r="2555" spans="1:18" hidden="1" x14ac:dyDescent="0.3">
      <c r="A2555">
        <v>510</v>
      </c>
      <c r="B2555" t="s">
        <v>1433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0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3204</v>
      </c>
    </row>
    <row r="2556" spans="1:18" hidden="1" x14ac:dyDescent="0.3">
      <c r="A2556">
        <v>510</v>
      </c>
      <c r="B2556" t="s">
        <v>1433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0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3205</v>
      </c>
    </row>
    <row r="2557" spans="1:18" hidden="1" x14ac:dyDescent="0.3">
      <c r="A2557">
        <v>510</v>
      </c>
      <c r="B2557" t="s">
        <v>1433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0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3206</v>
      </c>
    </row>
    <row r="2558" spans="1:18" hidden="1" x14ac:dyDescent="0.3">
      <c r="A2558">
        <v>510</v>
      </c>
      <c r="B2558" t="s">
        <v>1433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0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1434</v>
      </c>
    </row>
    <row r="2559" spans="1:18" hidden="1" x14ac:dyDescent="0.3">
      <c r="A2559">
        <v>511</v>
      </c>
      <c r="B2559" t="s">
        <v>1435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K2559">
        <v>373.70999908447271</v>
      </c>
      <c r="L2559" s="39"/>
      <c r="M2559" s="39"/>
      <c r="N2559" t="s">
        <v>355</v>
      </c>
      <c r="O2559" t="s">
        <v>25</v>
      </c>
      <c r="P2559">
        <v>0</v>
      </c>
      <c r="Q2559">
        <v>0</v>
      </c>
      <c r="R2559" t="s">
        <v>3207</v>
      </c>
    </row>
    <row r="2560" spans="1:18" hidden="1" x14ac:dyDescent="0.3">
      <c r="A2560">
        <v>511</v>
      </c>
      <c r="B2560" t="s">
        <v>1435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K2560">
        <v>86.36</v>
      </c>
      <c r="L2560" s="39"/>
      <c r="M2560" s="39"/>
      <c r="N2560" t="s">
        <v>355</v>
      </c>
      <c r="O2560" t="s">
        <v>25</v>
      </c>
      <c r="P2560">
        <v>0</v>
      </c>
      <c r="Q2560">
        <v>0</v>
      </c>
      <c r="R2560" t="s">
        <v>3208</v>
      </c>
    </row>
    <row r="2561" spans="1:18" hidden="1" x14ac:dyDescent="0.3">
      <c r="A2561">
        <v>511</v>
      </c>
      <c r="B2561" t="s">
        <v>1435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K2561">
        <v>86.36</v>
      </c>
      <c r="L2561" s="39"/>
      <c r="M2561" s="39"/>
      <c r="N2561" t="s">
        <v>355</v>
      </c>
      <c r="O2561" t="s">
        <v>25</v>
      </c>
      <c r="P2561">
        <v>0</v>
      </c>
      <c r="Q2561">
        <v>0</v>
      </c>
      <c r="R2561" t="s">
        <v>3209</v>
      </c>
    </row>
    <row r="2562" spans="1:18" hidden="1" x14ac:dyDescent="0.3">
      <c r="A2562">
        <v>511</v>
      </c>
      <c r="B2562" t="s">
        <v>1435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K2562">
        <v>84.76</v>
      </c>
      <c r="L2562" s="39"/>
      <c r="M2562" s="39"/>
      <c r="N2562" t="s">
        <v>355</v>
      </c>
      <c r="O2562" t="s">
        <v>25</v>
      </c>
      <c r="P2562">
        <v>0</v>
      </c>
      <c r="Q2562">
        <v>0</v>
      </c>
      <c r="R2562" t="s">
        <v>1436</v>
      </c>
    </row>
    <row r="2563" spans="1:18" hidden="1" x14ac:dyDescent="0.3">
      <c r="A2563">
        <v>513</v>
      </c>
      <c r="B2563" t="s">
        <v>1437</v>
      </c>
      <c r="C2563" t="s">
        <v>732</v>
      </c>
      <c r="D2563" t="s">
        <v>27</v>
      </c>
      <c r="E2563" t="s">
        <v>22</v>
      </c>
      <c r="F2563" s="79">
        <v>45747</v>
      </c>
      <c r="G2563">
        <v>2025</v>
      </c>
      <c r="H2563" t="s">
        <v>1516</v>
      </c>
      <c r="I2563" t="s">
        <v>700</v>
      </c>
      <c r="J2563">
        <v>15</v>
      </c>
      <c r="K2563">
        <v>100</v>
      </c>
      <c r="L2563" s="39">
        <f t="shared" ref="L2563:L2586" si="166">IFERROR(IF(OR(J2563=0,K2563=""),"",IF(E2563="Positivo",MIN(MAX(K2563/J2563,0),1.3),MIN(MAX(J2563/K2563,0),1.3))),"")</f>
        <v>1.3</v>
      </c>
      <c r="M2563" s="39">
        <f t="shared" ref="M2563:M2586" si="167">IFERROR(IF(OR(J2563=0,K2563=""),"",IF(E2563="Positivo",MAX(K2563/J2563,0),MAX(J2563/K2563,0))),"")</f>
        <v>6.666666666666667</v>
      </c>
      <c r="N2563" t="s">
        <v>355</v>
      </c>
      <c r="O2563" t="s">
        <v>25</v>
      </c>
      <c r="P2563">
        <v>0</v>
      </c>
      <c r="Q2563">
        <v>0</v>
      </c>
      <c r="R2563" t="s">
        <v>3210</v>
      </c>
    </row>
    <row r="2564" spans="1:18" hidden="1" x14ac:dyDescent="0.3">
      <c r="A2564">
        <v>513</v>
      </c>
      <c r="B2564" t="s">
        <v>1437</v>
      </c>
      <c r="C2564" t="s">
        <v>732</v>
      </c>
      <c r="D2564" t="s">
        <v>27</v>
      </c>
      <c r="E2564" t="s">
        <v>22</v>
      </c>
      <c r="F2564" s="79">
        <v>45838</v>
      </c>
      <c r="G2564">
        <v>2025</v>
      </c>
      <c r="H2564" t="s">
        <v>699</v>
      </c>
      <c r="I2564" t="s">
        <v>700</v>
      </c>
      <c r="J2564">
        <v>32</v>
      </c>
      <c r="K2564">
        <v>100</v>
      </c>
      <c r="L2564" s="39">
        <f t="shared" si="166"/>
        <v>1.3</v>
      </c>
      <c r="M2564" s="39">
        <f t="shared" si="167"/>
        <v>3.125</v>
      </c>
      <c r="N2564" t="s">
        <v>355</v>
      </c>
      <c r="O2564" t="s">
        <v>25</v>
      </c>
      <c r="P2564">
        <v>0</v>
      </c>
      <c r="Q2564">
        <v>0</v>
      </c>
      <c r="R2564" t="s">
        <v>3211</v>
      </c>
    </row>
    <row r="2565" spans="1:18" hidden="1" x14ac:dyDescent="0.3">
      <c r="A2565">
        <v>513</v>
      </c>
      <c r="B2565" t="s">
        <v>1437</v>
      </c>
      <c r="C2565" t="s">
        <v>732</v>
      </c>
      <c r="D2565" t="s">
        <v>27</v>
      </c>
      <c r="E2565" t="s">
        <v>22</v>
      </c>
      <c r="F2565" s="79">
        <v>45930</v>
      </c>
      <c r="G2565">
        <v>2025</v>
      </c>
      <c r="H2565" t="s">
        <v>162</v>
      </c>
      <c r="I2565" t="s">
        <v>32</v>
      </c>
      <c r="J2565">
        <v>0</v>
      </c>
      <c r="K2565">
        <v>0</v>
      </c>
      <c r="L2565" s="39" t="str">
        <f t="shared" si="166"/>
        <v/>
      </c>
      <c r="M2565" s="39" t="str">
        <f t="shared" si="167"/>
        <v/>
      </c>
      <c r="N2565" t="s">
        <v>355</v>
      </c>
      <c r="O2565" t="s">
        <v>25</v>
      </c>
      <c r="P2565">
        <v>0</v>
      </c>
      <c r="Q2565">
        <v>0</v>
      </c>
      <c r="R2565" t="s">
        <v>3212</v>
      </c>
    </row>
    <row r="2566" spans="1:18" hidden="1" x14ac:dyDescent="0.3">
      <c r="A2566">
        <v>513</v>
      </c>
      <c r="B2566" t="s">
        <v>1437</v>
      </c>
      <c r="C2566" t="s">
        <v>732</v>
      </c>
      <c r="D2566" t="s">
        <v>27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0</v>
      </c>
      <c r="K2566">
        <v>0</v>
      </c>
      <c r="L2566" s="39" t="str">
        <f t="shared" si="166"/>
        <v/>
      </c>
      <c r="M2566" s="39" t="str">
        <f t="shared" si="167"/>
        <v/>
      </c>
      <c r="N2566" t="s">
        <v>355</v>
      </c>
      <c r="O2566" t="s">
        <v>25</v>
      </c>
      <c r="P2566">
        <v>0</v>
      </c>
      <c r="Q2566">
        <v>0</v>
      </c>
      <c r="R2566" t="s">
        <v>1438</v>
      </c>
    </row>
    <row r="2567" spans="1:18" hidden="1" x14ac:dyDescent="0.3">
      <c r="A2567">
        <v>514</v>
      </c>
      <c r="B2567" t="s">
        <v>1439</v>
      </c>
      <c r="C2567" t="s">
        <v>732</v>
      </c>
      <c r="D2567" t="s">
        <v>21</v>
      </c>
      <c r="E2567" t="s">
        <v>22</v>
      </c>
      <c r="F2567" s="79">
        <v>45838</v>
      </c>
      <c r="G2567">
        <v>2025</v>
      </c>
      <c r="H2567" t="s">
        <v>699</v>
      </c>
      <c r="I2567" t="s">
        <v>700</v>
      </c>
      <c r="J2567">
        <v>70</v>
      </c>
      <c r="K2567">
        <v>91.82</v>
      </c>
      <c r="L2567" s="39">
        <f t="shared" si="166"/>
        <v>1.3</v>
      </c>
      <c r="M2567" s="39">
        <f t="shared" si="167"/>
        <v>1.3117142857142856</v>
      </c>
      <c r="N2567" t="s">
        <v>25</v>
      </c>
      <c r="O2567" t="s">
        <v>25</v>
      </c>
      <c r="P2567">
        <v>0</v>
      </c>
      <c r="Q2567">
        <v>0</v>
      </c>
      <c r="R2567" t="s">
        <v>3213</v>
      </c>
    </row>
    <row r="2568" spans="1:18" hidden="1" x14ac:dyDescent="0.3">
      <c r="A2568">
        <v>514</v>
      </c>
      <c r="B2568" t="s">
        <v>1439</v>
      </c>
      <c r="C2568" t="s">
        <v>732</v>
      </c>
      <c r="D2568" t="s">
        <v>21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70</v>
      </c>
      <c r="K2568">
        <v>45.96</v>
      </c>
      <c r="L2568" s="39">
        <f t="shared" si="166"/>
        <v>0.65657142857142858</v>
      </c>
      <c r="M2568" s="39">
        <f t="shared" si="167"/>
        <v>0.65657142857142858</v>
      </c>
      <c r="N2568" t="s">
        <v>25</v>
      </c>
      <c r="O2568" t="s">
        <v>25</v>
      </c>
      <c r="P2568">
        <v>0</v>
      </c>
      <c r="Q2568">
        <v>0</v>
      </c>
      <c r="R2568" t="s">
        <v>1440</v>
      </c>
    </row>
    <row r="2569" spans="1:18" hidden="1" x14ac:dyDescent="0.3">
      <c r="A2569">
        <v>515</v>
      </c>
      <c r="B2569" t="s">
        <v>1441</v>
      </c>
      <c r="C2569" t="s">
        <v>53</v>
      </c>
      <c r="D2569" t="s">
        <v>21</v>
      </c>
      <c r="E2569" t="s">
        <v>22</v>
      </c>
      <c r="F2569" s="79">
        <v>46022</v>
      </c>
      <c r="G2569">
        <v>2025</v>
      </c>
      <c r="H2569" t="s">
        <v>23</v>
      </c>
      <c r="I2569" t="s">
        <v>32</v>
      </c>
      <c r="J2569">
        <v>3</v>
      </c>
      <c r="K2569">
        <v>66.67</v>
      </c>
      <c r="L2569" s="39">
        <f t="shared" si="166"/>
        <v>1.3</v>
      </c>
      <c r="M2569" s="39">
        <f t="shared" si="167"/>
        <v>22.223333333333333</v>
      </c>
      <c r="N2569" t="s">
        <v>25</v>
      </c>
      <c r="O2569" t="s">
        <v>25</v>
      </c>
      <c r="P2569">
        <v>0</v>
      </c>
      <c r="Q2569">
        <v>0</v>
      </c>
      <c r="R2569" t="s">
        <v>1442</v>
      </c>
    </row>
    <row r="2570" spans="1:18" hidden="1" x14ac:dyDescent="0.3">
      <c r="A2570">
        <v>516</v>
      </c>
      <c r="B2570" t="s">
        <v>1443</v>
      </c>
      <c r="C2570" t="s">
        <v>53</v>
      </c>
      <c r="D2570" t="s">
        <v>21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95</v>
      </c>
      <c r="K2570">
        <v>315.79000000000002</v>
      </c>
      <c r="L2570" s="39">
        <f t="shared" si="166"/>
        <v>1.3</v>
      </c>
      <c r="M2570" s="39">
        <f t="shared" si="167"/>
        <v>3.3241052631578949</v>
      </c>
      <c r="N2570" t="s">
        <v>25</v>
      </c>
      <c r="O2570" t="s">
        <v>25</v>
      </c>
      <c r="P2570">
        <v>0</v>
      </c>
      <c r="Q2570">
        <v>0</v>
      </c>
      <c r="R2570" t="s">
        <v>1444</v>
      </c>
    </row>
    <row r="2571" spans="1:18" hidden="1" x14ac:dyDescent="0.3">
      <c r="A2571">
        <v>518</v>
      </c>
      <c r="B2571" t="s">
        <v>62</v>
      </c>
      <c r="C2571" t="s">
        <v>63</v>
      </c>
      <c r="D2571" t="s">
        <v>64</v>
      </c>
      <c r="E2571" t="s">
        <v>22</v>
      </c>
      <c r="F2571" s="79">
        <v>45747</v>
      </c>
      <c r="G2571">
        <v>2025</v>
      </c>
      <c r="H2571" t="s">
        <v>1516</v>
      </c>
      <c r="I2571" t="s">
        <v>700</v>
      </c>
      <c r="J2571">
        <v>100</v>
      </c>
      <c r="K2571">
        <v>83.333333333333002</v>
      </c>
      <c r="L2571" s="39">
        <f t="shared" si="166"/>
        <v>0.83333333333333004</v>
      </c>
      <c r="M2571" s="39">
        <f t="shared" si="167"/>
        <v>0.83333333333333004</v>
      </c>
      <c r="N2571" t="s">
        <v>25</v>
      </c>
      <c r="O2571" t="s">
        <v>25</v>
      </c>
      <c r="P2571">
        <v>0</v>
      </c>
      <c r="Q2571">
        <v>0</v>
      </c>
      <c r="R2571" t="s">
        <v>3214</v>
      </c>
    </row>
    <row r="2572" spans="1:18" hidden="1" x14ac:dyDescent="0.3">
      <c r="A2572">
        <v>518</v>
      </c>
      <c r="B2572" t="s">
        <v>62</v>
      </c>
      <c r="C2572" t="s">
        <v>63</v>
      </c>
      <c r="D2572" t="s">
        <v>64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100</v>
      </c>
      <c r="K2572">
        <v>87.5</v>
      </c>
      <c r="L2572" s="39">
        <f t="shared" si="166"/>
        <v>0.875</v>
      </c>
      <c r="M2572" s="39">
        <f t="shared" si="167"/>
        <v>0.875</v>
      </c>
      <c r="N2572" t="s">
        <v>25</v>
      </c>
      <c r="O2572" t="s">
        <v>25</v>
      </c>
      <c r="P2572">
        <v>0</v>
      </c>
      <c r="Q2572">
        <v>0</v>
      </c>
      <c r="R2572" t="s">
        <v>3215</v>
      </c>
    </row>
    <row r="2573" spans="1:18" hidden="1" x14ac:dyDescent="0.3">
      <c r="A2573">
        <v>518</v>
      </c>
      <c r="B2573" t="s">
        <v>62</v>
      </c>
      <c r="C2573" t="s">
        <v>63</v>
      </c>
      <c r="D2573" t="s">
        <v>27</v>
      </c>
      <c r="E2573" t="s">
        <v>22</v>
      </c>
      <c r="F2573" s="79">
        <v>45930</v>
      </c>
      <c r="G2573">
        <v>2025</v>
      </c>
      <c r="H2573" t="s">
        <v>162</v>
      </c>
      <c r="I2573" t="s">
        <v>32</v>
      </c>
      <c r="J2573">
        <v>100</v>
      </c>
      <c r="K2573">
        <v>120</v>
      </c>
      <c r="L2573" s="39">
        <f t="shared" si="166"/>
        <v>1.2</v>
      </c>
      <c r="M2573" s="39">
        <f t="shared" si="167"/>
        <v>1.2</v>
      </c>
      <c r="N2573" t="s">
        <v>25</v>
      </c>
      <c r="O2573" t="s">
        <v>25</v>
      </c>
      <c r="P2573">
        <v>0</v>
      </c>
      <c r="Q2573">
        <v>0</v>
      </c>
      <c r="R2573" t="s">
        <v>3216</v>
      </c>
    </row>
    <row r="2574" spans="1:18" hidden="1" x14ac:dyDescent="0.3">
      <c r="A2574">
        <v>518</v>
      </c>
      <c r="B2574" t="s">
        <v>62</v>
      </c>
      <c r="C2574" t="s">
        <v>63</v>
      </c>
      <c r="D2574" t="s">
        <v>27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J2574">
        <v>100</v>
      </c>
      <c r="K2574">
        <v>137.5</v>
      </c>
      <c r="L2574" s="39">
        <f t="shared" si="166"/>
        <v>1.3</v>
      </c>
      <c r="M2574" s="39">
        <f t="shared" si="167"/>
        <v>1.375</v>
      </c>
      <c r="N2574" t="s">
        <v>25</v>
      </c>
      <c r="O2574" t="s">
        <v>25</v>
      </c>
      <c r="P2574">
        <v>0</v>
      </c>
      <c r="Q2574">
        <v>0</v>
      </c>
      <c r="R2574" t="s">
        <v>1445</v>
      </c>
    </row>
    <row r="2575" spans="1:18" hidden="1" x14ac:dyDescent="0.3">
      <c r="A2575">
        <v>519</v>
      </c>
      <c r="B2575" t="s">
        <v>1446</v>
      </c>
      <c r="C2575" t="s">
        <v>1078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100</v>
      </c>
      <c r="K2575">
        <v>431.45</v>
      </c>
      <c r="L2575" s="39">
        <f t="shared" si="166"/>
        <v>1.3</v>
      </c>
      <c r="M2575" s="39">
        <f t="shared" si="167"/>
        <v>4.3144999999999998</v>
      </c>
      <c r="N2575" t="s">
        <v>25</v>
      </c>
      <c r="O2575" t="s">
        <v>25</v>
      </c>
      <c r="P2575">
        <v>0</v>
      </c>
      <c r="Q2575">
        <v>0</v>
      </c>
      <c r="R2575" t="s">
        <v>3217</v>
      </c>
    </row>
    <row r="2576" spans="1:18" hidden="1" x14ac:dyDescent="0.3">
      <c r="A2576">
        <v>519</v>
      </c>
      <c r="B2576" t="s">
        <v>1446</v>
      </c>
      <c r="C2576" t="s">
        <v>1078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100</v>
      </c>
      <c r="K2576">
        <v>131.13</v>
      </c>
      <c r="L2576" s="39">
        <f t="shared" si="166"/>
        <v>1.3</v>
      </c>
      <c r="M2576" s="39">
        <f t="shared" si="167"/>
        <v>1.3112999999999999</v>
      </c>
      <c r="N2576" t="s">
        <v>25</v>
      </c>
      <c r="O2576" t="s">
        <v>25</v>
      </c>
      <c r="P2576">
        <v>0</v>
      </c>
      <c r="Q2576">
        <v>0</v>
      </c>
      <c r="R2576" t="s">
        <v>1447</v>
      </c>
    </row>
    <row r="2577" spans="1:19" hidden="1" x14ac:dyDescent="0.3">
      <c r="A2577">
        <v>522</v>
      </c>
      <c r="B2577" t="s">
        <v>1448</v>
      </c>
      <c r="C2577" t="s">
        <v>549</v>
      </c>
      <c r="D2577" t="s">
        <v>71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20</v>
      </c>
      <c r="K2577">
        <v>100</v>
      </c>
      <c r="L2577" s="39">
        <f t="shared" si="166"/>
        <v>1.3</v>
      </c>
      <c r="M2577" s="39">
        <f t="shared" si="167"/>
        <v>5</v>
      </c>
      <c r="N2577" t="s">
        <v>25</v>
      </c>
      <c r="O2577" t="s">
        <v>25</v>
      </c>
      <c r="P2577">
        <v>0</v>
      </c>
      <c r="Q2577">
        <v>0</v>
      </c>
      <c r="R2577" t="s">
        <v>1449</v>
      </c>
    </row>
    <row r="2578" spans="1:19" hidden="1" x14ac:dyDescent="0.3">
      <c r="A2578">
        <v>523</v>
      </c>
      <c r="B2578" t="s">
        <v>1043</v>
      </c>
      <c r="C2578" t="s">
        <v>159</v>
      </c>
      <c r="D2578" t="s">
        <v>21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J2578">
        <v>95</v>
      </c>
      <c r="K2578">
        <v>128.41</v>
      </c>
      <c r="L2578" s="39">
        <f t="shared" si="166"/>
        <v>1.3</v>
      </c>
      <c r="M2578" s="39">
        <f t="shared" si="167"/>
        <v>1.3516842105263158</v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523</v>
      </c>
      <c r="B2579" t="s">
        <v>1043</v>
      </c>
      <c r="C2579" t="s">
        <v>159</v>
      </c>
      <c r="D2579" t="s">
        <v>21</v>
      </c>
      <c r="E2579" t="s">
        <v>22</v>
      </c>
      <c r="F2579" s="79">
        <v>46022</v>
      </c>
      <c r="G2579">
        <v>2025</v>
      </c>
      <c r="H2579" t="s">
        <v>23</v>
      </c>
      <c r="I2579" t="s">
        <v>32</v>
      </c>
      <c r="J2579">
        <v>95</v>
      </c>
      <c r="K2579">
        <v>95.76</v>
      </c>
      <c r="L2579" s="39">
        <f t="shared" si="166"/>
        <v>1.008</v>
      </c>
      <c r="M2579" s="39">
        <f t="shared" si="167"/>
        <v>1.008</v>
      </c>
      <c r="N2579" t="s">
        <v>25</v>
      </c>
      <c r="O2579" t="s">
        <v>25</v>
      </c>
      <c r="P2579">
        <v>0</v>
      </c>
      <c r="Q2579">
        <v>0</v>
      </c>
      <c r="R2579" t="s">
        <v>1450</v>
      </c>
    </row>
    <row r="2580" spans="1:19" hidden="1" x14ac:dyDescent="0.3">
      <c r="A2580">
        <v>524</v>
      </c>
      <c r="B2580" t="s">
        <v>1182</v>
      </c>
      <c r="C2580" t="s">
        <v>1183</v>
      </c>
      <c r="D2580" t="s">
        <v>21</v>
      </c>
      <c r="E2580" t="s">
        <v>22</v>
      </c>
      <c r="F2580" s="79">
        <v>45838</v>
      </c>
      <c r="G2580">
        <v>2025</v>
      </c>
      <c r="H2580" t="s">
        <v>699</v>
      </c>
      <c r="I2580" t="s">
        <v>700</v>
      </c>
      <c r="J2580">
        <v>100</v>
      </c>
      <c r="K2580">
        <v>99.38</v>
      </c>
      <c r="L2580" s="39">
        <f t="shared" si="166"/>
        <v>0.99379999999999991</v>
      </c>
      <c r="M2580" s="39">
        <f t="shared" si="167"/>
        <v>0.99379999999999991</v>
      </c>
      <c r="N2580" t="s">
        <v>128</v>
      </c>
      <c r="O2580" t="s">
        <v>128</v>
      </c>
      <c r="P2580">
        <v>0</v>
      </c>
      <c r="Q2580">
        <v>0</v>
      </c>
      <c r="R2580" t="s">
        <v>3219</v>
      </c>
    </row>
    <row r="2581" spans="1:19" hidden="1" x14ac:dyDescent="0.3">
      <c r="A2581">
        <v>524</v>
      </c>
      <c r="B2581" t="s">
        <v>1182</v>
      </c>
      <c r="C2581" t="s">
        <v>1183</v>
      </c>
      <c r="D2581" t="s">
        <v>21</v>
      </c>
      <c r="E2581" t="s">
        <v>22</v>
      </c>
      <c r="F2581" s="79">
        <v>46022</v>
      </c>
      <c r="G2581">
        <v>2025</v>
      </c>
      <c r="H2581" t="s">
        <v>23</v>
      </c>
      <c r="I2581" t="s">
        <v>32</v>
      </c>
      <c r="J2581">
        <v>100</v>
      </c>
      <c r="K2581">
        <v>106.07</v>
      </c>
      <c r="L2581" s="39">
        <f t="shared" si="166"/>
        <v>1.0607</v>
      </c>
      <c r="M2581" s="39">
        <f t="shared" si="167"/>
        <v>1.0607</v>
      </c>
      <c r="N2581" t="s">
        <v>128</v>
      </c>
      <c r="O2581" t="s">
        <v>128</v>
      </c>
      <c r="P2581">
        <v>0</v>
      </c>
      <c r="Q2581">
        <v>0</v>
      </c>
      <c r="R2581" t="s">
        <v>1451</v>
      </c>
    </row>
    <row r="2582" spans="1:19" hidden="1" x14ac:dyDescent="0.3">
      <c r="A2582">
        <v>526</v>
      </c>
      <c r="B2582" t="s">
        <v>1452</v>
      </c>
      <c r="C2582" t="s">
        <v>706</v>
      </c>
      <c r="D2582" t="s">
        <v>27</v>
      </c>
      <c r="E2582" t="s">
        <v>22</v>
      </c>
      <c r="F2582" s="79">
        <v>45838</v>
      </c>
      <c r="G2582">
        <v>2025</v>
      </c>
      <c r="H2582" t="s">
        <v>699</v>
      </c>
      <c r="I2582" t="s">
        <v>700</v>
      </c>
      <c r="J2582">
        <v>95</v>
      </c>
      <c r="K2582">
        <v>0</v>
      </c>
      <c r="L2582" s="39">
        <f t="shared" si="166"/>
        <v>0</v>
      </c>
      <c r="M2582" s="39">
        <f t="shared" si="167"/>
        <v>0</v>
      </c>
      <c r="N2582" t="s">
        <v>25</v>
      </c>
      <c r="O2582" t="s">
        <v>25</v>
      </c>
      <c r="P2582">
        <v>0</v>
      </c>
      <c r="Q2582">
        <v>0</v>
      </c>
      <c r="R2582" t="s">
        <v>3220</v>
      </c>
    </row>
    <row r="2583" spans="1:19" hidden="1" x14ac:dyDescent="0.3">
      <c r="A2583">
        <v>526</v>
      </c>
      <c r="B2583" t="s">
        <v>1452</v>
      </c>
      <c r="C2583" t="s">
        <v>706</v>
      </c>
      <c r="D2583" t="s">
        <v>27</v>
      </c>
      <c r="E2583" t="s">
        <v>22</v>
      </c>
      <c r="F2583" s="79">
        <v>45930</v>
      </c>
      <c r="G2583">
        <v>2025</v>
      </c>
      <c r="H2583" t="s">
        <v>162</v>
      </c>
      <c r="I2583" t="s">
        <v>32</v>
      </c>
      <c r="J2583">
        <v>95</v>
      </c>
      <c r="K2583">
        <v>96.6</v>
      </c>
      <c r="L2583" s="39">
        <f t="shared" si="166"/>
        <v>1.0168421052631578</v>
      </c>
      <c r="M2583" s="39">
        <f t="shared" si="167"/>
        <v>1.0168421052631578</v>
      </c>
      <c r="N2583" t="s">
        <v>25</v>
      </c>
      <c r="O2583" t="s">
        <v>25</v>
      </c>
      <c r="P2583">
        <v>0</v>
      </c>
      <c r="Q2583">
        <v>0</v>
      </c>
      <c r="R2583" t="s">
        <v>1453</v>
      </c>
    </row>
    <row r="2584" spans="1:19" hidden="1" x14ac:dyDescent="0.3">
      <c r="A2584">
        <v>527</v>
      </c>
      <c r="B2584" t="s">
        <v>1454</v>
      </c>
      <c r="C2584" t="s">
        <v>567</v>
      </c>
      <c r="D2584" t="s">
        <v>71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100</v>
      </c>
      <c r="K2584">
        <v>197.94</v>
      </c>
      <c r="L2584" s="39">
        <f t="shared" si="166"/>
        <v>1.3</v>
      </c>
      <c r="M2584" s="39">
        <f t="shared" si="167"/>
        <v>1.9794</v>
      </c>
      <c r="N2584" t="s">
        <v>25</v>
      </c>
      <c r="O2584" t="s">
        <v>25</v>
      </c>
      <c r="P2584">
        <v>0</v>
      </c>
      <c r="Q2584">
        <v>0</v>
      </c>
      <c r="R2584" t="s">
        <v>1455</v>
      </c>
    </row>
    <row r="2585" spans="1:19" hidden="1" x14ac:dyDescent="0.3">
      <c r="A2585">
        <v>528</v>
      </c>
      <c r="B2585" t="s">
        <v>1456</v>
      </c>
      <c r="C2585" t="s">
        <v>567</v>
      </c>
      <c r="D2585" t="s">
        <v>71</v>
      </c>
      <c r="E2585" t="s">
        <v>22</v>
      </c>
      <c r="F2585" s="79">
        <v>45838</v>
      </c>
      <c r="G2585">
        <v>2025</v>
      </c>
      <c r="H2585" t="s">
        <v>699</v>
      </c>
      <c r="I2585" t="s">
        <v>700</v>
      </c>
      <c r="J2585">
        <v>100</v>
      </c>
      <c r="K2585">
        <v>173.92055267703</v>
      </c>
      <c r="L2585" s="39">
        <f t="shared" si="166"/>
        <v>1.3</v>
      </c>
      <c r="M2585" s="39">
        <f t="shared" si="167"/>
        <v>1.7392055267702999</v>
      </c>
      <c r="N2585" t="s">
        <v>128</v>
      </c>
      <c r="O2585" t="s">
        <v>128</v>
      </c>
      <c r="P2585">
        <v>0</v>
      </c>
      <c r="Q2585">
        <v>0</v>
      </c>
      <c r="R2585" t="s">
        <v>3221</v>
      </c>
    </row>
    <row r="2586" spans="1:19" hidden="1" x14ac:dyDescent="0.3">
      <c r="A2586">
        <v>528</v>
      </c>
      <c r="B2586" t="s">
        <v>1456</v>
      </c>
      <c r="C2586" t="s">
        <v>567</v>
      </c>
      <c r="D2586" t="s">
        <v>71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100</v>
      </c>
      <c r="K2586">
        <v>1158</v>
      </c>
      <c r="L2586" s="39">
        <f t="shared" si="166"/>
        <v>1.3</v>
      </c>
      <c r="M2586" s="39">
        <f t="shared" si="167"/>
        <v>11.58</v>
      </c>
      <c r="N2586" t="s">
        <v>128</v>
      </c>
      <c r="O2586" t="s">
        <v>128</v>
      </c>
      <c r="P2586">
        <v>0</v>
      </c>
      <c r="Q2586">
        <v>0</v>
      </c>
      <c r="R2586" t="s">
        <v>1457</v>
      </c>
    </row>
    <row r="2587" spans="1:19" hidden="1" x14ac:dyDescent="0.3">
      <c r="A2587">
        <v>529</v>
      </c>
      <c r="B2587" t="s">
        <v>1458</v>
      </c>
      <c r="C2587" t="s">
        <v>167</v>
      </c>
      <c r="D2587" t="s">
        <v>27</v>
      </c>
      <c r="E2587" t="s">
        <v>22</v>
      </c>
      <c r="F2587" s="79">
        <v>45838</v>
      </c>
      <c r="G2587">
        <v>2025</v>
      </c>
      <c r="H2587" t="s">
        <v>699</v>
      </c>
      <c r="I2587" t="s">
        <v>700</v>
      </c>
      <c r="L2587" s="39"/>
      <c r="M2587" s="39"/>
      <c r="N2587" t="s">
        <v>25</v>
      </c>
      <c r="O2587" t="s">
        <v>302</v>
      </c>
      <c r="P2587">
        <v>0</v>
      </c>
      <c r="Q2587">
        <v>0</v>
      </c>
      <c r="R2587" t="s">
        <v>3222</v>
      </c>
      <c r="S2587" t="s">
        <v>302</v>
      </c>
    </row>
    <row r="2588" spans="1:19" hidden="1" x14ac:dyDescent="0.3">
      <c r="A2588">
        <v>529</v>
      </c>
      <c r="B2588" t="s">
        <v>1458</v>
      </c>
      <c r="C2588" t="s">
        <v>167</v>
      </c>
      <c r="D2588" t="s">
        <v>27</v>
      </c>
      <c r="E2588" t="s">
        <v>22</v>
      </c>
      <c r="F2588" s="79">
        <v>45930</v>
      </c>
      <c r="G2588">
        <v>2025</v>
      </c>
      <c r="H2588" t="s">
        <v>162</v>
      </c>
      <c r="I2588" t="s">
        <v>32</v>
      </c>
      <c r="J2588">
        <v>90</v>
      </c>
      <c r="K2588">
        <v>196.19</v>
      </c>
      <c r="L2588" s="39">
        <f t="shared" ref="L2588:L2608" si="168">IFERROR(IF(OR(J2588=0,K2588=""),"",IF(E2588="Positivo",MIN(MAX(K2588/J2588,0),1.3),MIN(MAX(J2588/K2588,0),1.3))),"")</f>
        <v>1.3</v>
      </c>
      <c r="M2588" s="39">
        <f t="shared" ref="M2588:M2608" si="169">IFERROR(IF(OR(J2588=0,K2588=""),"",IF(E2588="Positivo",MAX(K2588/J2588,0),MAX(J2588/K2588,0))),"")</f>
        <v>2.1798888888888888</v>
      </c>
      <c r="N2588" t="s">
        <v>25</v>
      </c>
      <c r="O2588" t="s">
        <v>25</v>
      </c>
      <c r="P2588">
        <v>0</v>
      </c>
      <c r="Q2588">
        <v>0</v>
      </c>
      <c r="R2588" t="s">
        <v>3223</v>
      </c>
    </row>
    <row r="2589" spans="1:19" hidden="1" x14ac:dyDescent="0.3">
      <c r="A2589">
        <v>529</v>
      </c>
      <c r="B2589" t="s">
        <v>1458</v>
      </c>
      <c r="C2589" t="s">
        <v>167</v>
      </c>
      <c r="D2589" t="s">
        <v>27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90</v>
      </c>
      <c r="K2589">
        <v>97.97</v>
      </c>
      <c r="L2589" s="39">
        <f t="shared" si="168"/>
        <v>1.0885555555555555</v>
      </c>
      <c r="M2589" s="39">
        <f t="shared" si="169"/>
        <v>1.0885555555555555</v>
      </c>
      <c r="N2589" t="s">
        <v>25</v>
      </c>
      <c r="O2589" t="s">
        <v>25</v>
      </c>
      <c r="P2589">
        <v>0</v>
      </c>
      <c r="Q2589">
        <v>0</v>
      </c>
      <c r="R2589" t="s">
        <v>1459</v>
      </c>
    </row>
    <row r="2590" spans="1:19" hidden="1" x14ac:dyDescent="0.3">
      <c r="A2590">
        <v>530</v>
      </c>
      <c r="B2590" t="s">
        <v>1460</v>
      </c>
      <c r="C2590" t="s">
        <v>53</v>
      </c>
      <c r="D2590" t="s">
        <v>21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97</v>
      </c>
      <c r="K2590">
        <v>85.56</v>
      </c>
      <c r="L2590" s="39">
        <f t="shared" si="168"/>
        <v>0.88206185567010309</v>
      </c>
      <c r="M2590" s="39">
        <f t="shared" si="169"/>
        <v>0.88206185567010309</v>
      </c>
      <c r="N2590" t="s">
        <v>25</v>
      </c>
      <c r="O2590" t="s">
        <v>25</v>
      </c>
      <c r="P2590">
        <v>0</v>
      </c>
      <c r="Q2590">
        <v>0</v>
      </c>
      <c r="R2590" t="s">
        <v>1461</v>
      </c>
    </row>
    <row r="2591" spans="1:19" hidden="1" x14ac:dyDescent="0.3">
      <c r="A2591">
        <v>531</v>
      </c>
      <c r="B2591" t="s">
        <v>1462</v>
      </c>
      <c r="C2591" t="s">
        <v>53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90</v>
      </c>
      <c r="K2591">
        <v>93.94</v>
      </c>
      <c r="L2591" s="39">
        <f t="shared" si="168"/>
        <v>1.0437777777777777</v>
      </c>
      <c r="M2591" s="39">
        <f t="shared" si="169"/>
        <v>1.0437777777777777</v>
      </c>
      <c r="N2591" t="s">
        <v>25</v>
      </c>
      <c r="O2591" t="s">
        <v>25</v>
      </c>
      <c r="P2591">
        <v>0</v>
      </c>
      <c r="Q2591">
        <v>0</v>
      </c>
      <c r="R2591" t="s">
        <v>1463</v>
      </c>
    </row>
    <row r="2592" spans="1:19" hidden="1" x14ac:dyDescent="0.3">
      <c r="A2592">
        <v>532</v>
      </c>
      <c r="B2592" t="s">
        <v>1464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133.15</v>
      </c>
      <c r="L2592" s="39">
        <f t="shared" si="168"/>
        <v>1.3</v>
      </c>
      <c r="M2592" s="39">
        <f t="shared" si="169"/>
        <v>1.3315000000000001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8" hidden="1" x14ac:dyDescent="0.3">
      <c r="A2593">
        <v>532</v>
      </c>
      <c r="B2593" t="s">
        <v>1464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134.78</v>
      </c>
      <c r="L2593" s="39">
        <f t="shared" si="168"/>
        <v>1.3</v>
      </c>
      <c r="M2593" s="39">
        <f t="shared" si="169"/>
        <v>1.3478000000000001</v>
      </c>
      <c r="N2593" t="s">
        <v>25</v>
      </c>
      <c r="O2593" t="s">
        <v>25</v>
      </c>
      <c r="P2593">
        <v>0</v>
      </c>
      <c r="Q2593">
        <v>0</v>
      </c>
      <c r="R2593" t="s">
        <v>1465</v>
      </c>
    </row>
    <row r="2594" spans="1:18" hidden="1" x14ac:dyDescent="0.3">
      <c r="A2594">
        <v>533</v>
      </c>
      <c r="B2594" t="s">
        <v>1466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124.89</v>
      </c>
      <c r="L2594" s="39">
        <f t="shared" si="168"/>
        <v>1.2488999999999999</v>
      </c>
      <c r="M2594" s="39">
        <f t="shared" si="169"/>
        <v>1.2488999999999999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8" hidden="1" x14ac:dyDescent="0.3">
      <c r="A2595">
        <v>533</v>
      </c>
      <c r="B2595" t="s">
        <v>1466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177.95</v>
      </c>
      <c r="L2595" s="39">
        <f t="shared" si="168"/>
        <v>1.3</v>
      </c>
      <c r="M2595" s="39">
        <f t="shared" si="169"/>
        <v>1.7794999999999999</v>
      </c>
      <c r="N2595" t="s">
        <v>25</v>
      </c>
      <c r="O2595" t="s">
        <v>25</v>
      </c>
      <c r="P2595">
        <v>0</v>
      </c>
      <c r="Q2595">
        <v>0</v>
      </c>
      <c r="R2595" t="s">
        <v>1467</v>
      </c>
    </row>
    <row r="2596" spans="1:18" hidden="1" x14ac:dyDescent="0.3">
      <c r="A2596">
        <v>534</v>
      </c>
      <c r="B2596" t="s">
        <v>1468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134.09</v>
      </c>
      <c r="L2596" s="39">
        <f t="shared" si="168"/>
        <v>1.3</v>
      </c>
      <c r="M2596" s="39">
        <f t="shared" si="169"/>
        <v>1.3409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8" hidden="1" x14ac:dyDescent="0.3">
      <c r="A2597">
        <v>534</v>
      </c>
      <c r="B2597" t="s">
        <v>1468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134.53</v>
      </c>
      <c r="L2597" s="39">
        <f t="shared" si="168"/>
        <v>1.3</v>
      </c>
      <c r="M2597" s="39">
        <f t="shared" si="169"/>
        <v>1.3452999999999999</v>
      </c>
      <c r="N2597" t="s">
        <v>25</v>
      </c>
      <c r="O2597" t="s">
        <v>25</v>
      </c>
      <c r="P2597">
        <v>0</v>
      </c>
      <c r="Q2597">
        <v>0</v>
      </c>
      <c r="R2597" t="s">
        <v>1469</v>
      </c>
    </row>
    <row r="2598" spans="1:18" hidden="1" x14ac:dyDescent="0.3">
      <c r="A2598">
        <v>535</v>
      </c>
      <c r="B2598" t="s">
        <v>1470</v>
      </c>
      <c r="C2598" t="s">
        <v>246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100</v>
      </c>
      <c r="K2598">
        <v>132.66999999999999</v>
      </c>
      <c r="L2598" s="39">
        <f t="shared" si="168"/>
        <v>1.3</v>
      </c>
      <c r="M2598" s="39">
        <f t="shared" si="169"/>
        <v>1.3266999999999998</v>
      </c>
      <c r="N2598" t="s">
        <v>25</v>
      </c>
      <c r="O2598" t="s">
        <v>25</v>
      </c>
      <c r="P2598">
        <v>0</v>
      </c>
      <c r="Q2598">
        <v>0</v>
      </c>
      <c r="R2598" t="s">
        <v>3227</v>
      </c>
    </row>
    <row r="2599" spans="1:18" hidden="1" x14ac:dyDescent="0.3">
      <c r="A2599">
        <v>535</v>
      </c>
      <c r="B2599" t="s">
        <v>1470</v>
      </c>
      <c r="C2599" t="s">
        <v>246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100</v>
      </c>
      <c r="K2599">
        <v>209.63</v>
      </c>
      <c r="L2599" s="39">
        <f t="shared" si="168"/>
        <v>1.3</v>
      </c>
      <c r="M2599" s="39">
        <f t="shared" si="169"/>
        <v>2.0962999999999998</v>
      </c>
      <c r="N2599" t="s">
        <v>25</v>
      </c>
      <c r="O2599" t="s">
        <v>25</v>
      </c>
      <c r="P2599">
        <v>0</v>
      </c>
      <c r="Q2599">
        <v>0</v>
      </c>
      <c r="R2599" t="s">
        <v>1471</v>
      </c>
    </row>
    <row r="2600" spans="1:18" hidden="1" x14ac:dyDescent="0.3">
      <c r="A2600">
        <v>536</v>
      </c>
      <c r="B2600" t="s">
        <v>1472</v>
      </c>
      <c r="C2600" t="s">
        <v>246</v>
      </c>
      <c r="D2600" t="s">
        <v>21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100</v>
      </c>
      <c r="K2600">
        <v>109.33</v>
      </c>
      <c r="L2600" s="39">
        <f t="shared" si="168"/>
        <v>1.0932999999999999</v>
      </c>
      <c r="M2600" s="39">
        <f t="shared" si="169"/>
        <v>1.0932999999999999</v>
      </c>
      <c r="N2600" t="s">
        <v>25</v>
      </c>
      <c r="O2600" t="s">
        <v>25</v>
      </c>
      <c r="P2600">
        <v>0</v>
      </c>
      <c r="Q2600">
        <v>0</v>
      </c>
      <c r="R2600" t="s">
        <v>3228</v>
      </c>
    </row>
    <row r="2601" spans="1:18" hidden="1" x14ac:dyDescent="0.3">
      <c r="A2601">
        <v>536</v>
      </c>
      <c r="B2601" t="s">
        <v>1472</v>
      </c>
      <c r="C2601" t="s">
        <v>246</v>
      </c>
      <c r="D2601" t="s">
        <v>21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100</v>
      </c>
      <c r="K2601">
        <v>260.75</v>
      </c>
      <c r="L2601" s="39">
        <f t="shared" si="168"/>
        <v>1.3</v>
      </c>
      <c r="M2601" s="39">
        <f t="shared" si="169"/>
        <v>2.6074999999999999</v>
      </c>
      <c r="N2601" t="s">
        <v>25</v>
      </c>
      <c r="O2601" t="s">
        <v>25</v>
      </c>
      <c r="P2601">
        <v>0</v>
      </c>
      <c r="Q2601">
        <v>0</v>
      </c>
      <c r="R2601" t="s">
        <v>1473</v>
      </c>
    </row>
    <row r="2602" spans="1:18" hidden="1" x14ac:dyDescent="0.3">
      <c r="A2602">
        <v>537</v>
      </c>
      <c r="B2602" t="s">
        <v>1474</v>
      </c>
      <c r="C2602" t="s">
        <v>333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65</v>
      </c>
      <c r="K2602">
        <v>58.9</v>
      </c>
      <c r="L2602" s="39">
        <f t="shared" si="168"/>
        <v>0.90615384615384609</v>
      </c>
      <c r="M2602" s="39">
        <f t="shared" si="169"/>
        <v>0.90615384615384609</v>
      </c>
      <c r="N2602" t="s">
        <v>128</v>
      </c>
      <c r="O2602" t="s">
        <v>128</v>
      </c>
      <c r="P2602">
        <v>0</v>
      </c>
      <c r="Q2602">
        <v>0</v>
      </c>
      <c r="R2602" t="s">
        <v>3229</v>
      </c>
    </row>
    <row r="2603" spans="1:18" hidden="1" x14ac:dyDescent="0.3">
      <c r="A2603">
        <v>537</v>
      </c>
      <c r="B2603" t="s">
        <v>1474</v>
      </c>
      <c r="C2603" t="s">
        <v>333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65</v>
      </c>
      <c r="K2603">
        <v>64.3</v>
      </c>
      <c r="L2603" s="39">
        <f t="shared" si="168"/>
        <v>0.98923076923076914</v>
      </c>
      <c r="M2603" s="39">
        <f t="shared" si="169"/>
        <v>0.98923076923076914</v>
      </c>
      <c r="N2603" t="s">
        <v>128</v>
      </c>
      <c r="O2603" t="s">
        <v>128</v>
      </c>
      <c r="P2603">
        <v>0</v>
      </c>
      <c r="Q2603">
        <v>0</v>
      </c>
      <c r="R2603" t="s">
        <v>1475</v>
      </c>
    </row>
    <row r="2604" spans="1:18" hidden="1" x14ac:dyDescent="0.3">
      <c r="A2604">
        <v>538</v>
      </c>
      <c r="B2604" t="s">
        <v>1476</v>
      </c>
      <c r="C2604" t="s">
        <v>541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90</v>
      </c>
      <c r="K2604">
        <v>100</v>
      </c>
      <c r="L2604" s="39">
        <f t="shared" si="168"/>
        <v>1.1111111111111112</v>
      </c>
      <c r="M2604" s="39">
        <f t="shared" si="169"/>
        <v>1.1111111111111112</v>
      </c>
      <c r="N2604" t="s">
        <v>25</v>
      </c>
      <c r="O2604" t="s">
        <v>25</v>
      </c>
      <c r="P2604">
        <v>0</v>
      </c>
      <c r="Q2604">
        <v>0</v>
      </c>
      <c r="R2604" t="s">
        <v>1477</v>
      </c>
    </row>
    <row r="2605" spans="1:18" hidden="1" x14ac:dyDescent="0.3">
      <c r="A2605">
        <v>539</v>
      </c>
      <c r="B2605" t="s">
        <v>1478</v>
      </c>
      <c r="C2605" t="s">
        <v>541</v>
      </c>
      <c r="D2605" t="s">
        <v>21</v>
      </c>
      <c r="E2605" t="s">
        <v>41</v>
      </c>
      <c r="F2605" s="79">
        <v>46022</v>
      </c>
      <c r="G2605">
        <v>2025</v>
      </c>
      <c r="H2605" t="s">
        <v>23</v>
      </c>
      <c r="I2605" t="s">
        <v>32</v>
      </c>
      <c r="J2605">
        <v>2.5</v>
      </c>
      <c r="K2605">
        <v>2.5</v>
      </c>
      <c r="L2605" s="39">
        <f t="shared" si="168"/>
        <v>1</v>
      </c>
      <c r="M2605" s="39">
        <f t="shared" si="169"/>
        <v>1</v>
      </c>
      <c r="N2605" t="s">
        <v>25</v>
      </c>
      <c r="O2605" t="s">
        <v>25</v>
      </c>
      <c r="P2605">
        <v>0</v>
      </c>
      <c r="Q2605">
        <v>0</v>
      </c>
      <c r="R2605" t="s">
        <v>1479</v>
      </c>
    </row>
    <row r="2606" spans="1:18" hidden="1" x14ac:dyDescent="0.3">
      <c r="A2606">
        <v>540</v>
      </c>
      <c r="B2606" t="s">
        <v>1480</v>
      </c>
      <c r="C2606" t="s">
        <v>922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J2606">
        <v>97</v>
      </c>
      <c r="K2606">
        <v>97.33</v>
      </c>
      <c r="L2606" s="39">
        <f t="shared" si="168"/>
        <v>1.00340206185567</v>
      </c>
      <c r="M2606" s="39">
        <f t="shared" si="169"/>
        <v>1.00340206185567</v>
      </c>
      <c r="N2606" t="s">
        <v>25</v>
      </c>
      <c r="O2606" t="s">
        <v>25</v>
      </c>
      <c r="P2606">
        <v>0</v>
      </c>
      <c r="Q2606">
        <v>0</v>
      </c>
      <c r="R2606" t="s">
        <v>3230</v>
      </c>
    </row>
    <row r="2607" spans="1:18" hidden="1" x14ac:dyDescent="0.3">
      <c r="A2607">
        <v>540</v>
      </c>
      <c r="B2607" t="s">
        <v>1480</v>
      </c>
      <c r="C2607" t="s">
        <v>922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J2607">
        <v>97</v>
      </c>
      <c r="K2607">
        <v>97.9</v>
      </c>
      <c r="L2607" s="39">
        <f t="shared" si="168"/>
        <v>1.0092783505154639</v>
      </c>
      <c r="M2607" s="39">
        <f t="shared" si="169"/>
        <v>1.0092783505154639</v>
      </c>
      <c r="N2607" t="s">
        <v>25</v>
      </c>
      <c r="O2607" t="s">
        <v>25</v>
      </c>
      <c r="P2607">
        <v>0</v>
      </c>
      <c r="Q2607">
        <v>0</v>
      </c>
      <c r="R2607" t="s">
        <v>1481</v>
      </c>
    </row>
    <row r="2608" spans="1:18" hidden="1" x14ac:dyDescent="0.3">
      <c r="A2608">
        <v>541</v>
      </c>
      <c r="B2608" t="s">
        <v>1482</v>
      </c>
      <c r="C2608" t="s">
        <v>842</v>
      </c>
      <c r="D2608" t="s">
        <v>71</v>
      </c>
      <c r="E2608" t="s">
        <v>22</v>
      </c>
      <c r="F2608" s="79">
        <v>46022</v>
      </c>
      <c r="G2608">
        <v>2025</v>
      </c>
      <c r="H2608" t="s">
        <v>23</v>
      </c>
      <c r="I2608" t="s">
        <v>32</v>
      </c>
      <c r="J2608">
        <v>4</v>
      </c>
      <c r="K2608">
        <v>6.99</v>
      </c>
      <c r="L2608" s="39">
        <f t="shared" si="168"/>
        <v>1.3</v>
      </c>
      <c r="M2608" s="39">
        <f t="shared" si="169"/>
        <v>1.7475000000000001</v>
      </c>
      <c r="N2608" t="s">
        <v>25</v>
      </c>
      <c r="O2608" t="s">
        <v>25</v>
      </c>
      <c r="P2608">
        <v>0</v>
      </c>
      <c r="Q2608">
        <v>0</v>
      </c>
      <c r="R2608" t="s">
        <v>1483</v>
      </c>
    </row>
    <row r="2609" spans="1:19" hidden="1" x14ac:dyDescent="0.3">
      <c r="A2609">
        <v>542</v>
      </c>
      <c r="B2609" t="s">
        <v>1484</v>
      </c>
      <c r="C2609" t="s">
        <v>842</v>
      </c>
      <c r="D2609" t="s">
        <v>71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K2609">
        <v>81.239999999999995</v>
      </c>
      <c r="N2609" t="s">
        <v>25</v>
      </c>
      <c r="O2609" t="s">
        <v>25</v>
      </c>
      <c r="P2609">
        <v>0</v>
      </c>
      <c r="Q2609">
        <v>0</v>
      </c>
      <c r="R2609" t="s">
        <v>1485</v>
      </c>
      <c r="S2609" t="s">
        <v>263</v>
      </c>
    </row>
    <row r="2610" spans="1:19" hidden="1" x14ac:dyDescent="0.3">
      <c r="A2610">
        <v>543</v>
      </c>
      <c r="B2610" t="s">
        <v>1486</v>
      </c>
      <c r="C2610" t="s">
        <v>308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K2610">
        <v>7.29</v>
      </c>
      <c r="L2610" s="39"/>
      <c r="M2610" s="39"/>
      <c r="N2610" t="s">
        <v>128</v>
      </c>
      <c r="O2610" t="s">
        <v>128</v>
      </c>
      <c r="P2610">
        <v>0</v>
      </c>
      <c r="Q2610">
        <v>0</v>
      </c>
      <c r="R2610" t="s">
        <v>3231</v>
      </c>
    </row>
    <row r="2611" spans="1:19" hidden="1" x14ac:dyDescent="0.3">
      <c r="A2611">
        <v>543</v>
      </c>
      <c r="B2611" t="s">
        <v>1486</v>
      </c>
      <c r="C2611" t="s">
        <v>308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6.91</v>
      </c>
      <c r="L2611" s="39"/>
      <c r="M2611" s="39"/>
      <c r="N2611" t="s">
        <v>128</v>
      </c>
      <c r="O2611" t="s">
        <v>128</v>
      </c>
      <c r="P2611">
        <v>0</v>
      </c>
      <c r="Q2611">
        <v>0</v>
      </c>
      <c r="R2611" t="s">
        <v>1487</v>
      </c>
    </row>
    <row r="2612" spans="1:19" hidden="1" x14ac:dyDescent="0.3">
      <c r="A2612">
        <v>544</v>
      </c>
      <c r="B2612" t="s">
        <v>1488</v>
      </c>
      <c r="C2612" t="s">
        <v>1110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100</v>
      </c>
      <c r="K2612">
        <v>250</v>
      </c>
      <c r="L2612" s="39">
        <f>IFERROR(IF(OR(J2612=0,K2612=""),"",IF(E2612="Positivo",MIN(MAX(K2612/J2612,0),1.3),MIN(MAX(J2612/K2612,0),1.3))),"")</f>
        <v>1.3</v>
      </c>
      <c r="M2612" s="39">
        <f>IFERROR(IF(OR(J2612=0,K2612=""),"",IF(E2612="Positivo",MAX(K2612/J2612,0),MAX(J2612/K2612,0))),"")</f>
        <v>2.5</v>
      </c>
      <c r="N2612" t="s">
        <v>128</v>
      </c>
      <c r="O2612" t="s">
        <v>128</v>
      </c>
      <c r="P2612">
        <v>0</v>
      </c>
      <c r="Q2612">
        <v>0</v>
      </c>
      <c r="R2612" t="s">
        <v>3232</v>
      </c>
    </row>
    <row r="2613" spans="1:19" hidden="1" x14ac:dyDescent="0.3">
      <c r="A2613">
        <v>544</v>
      </c>
      <c r="B2613" t="s">
        <v>1488</v>
      </c>
      <c r="C2613" t="s">
        <v>1110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100</v>
      </c>
      <c r="K2613">
        <v>162.5</v>
      </c>
      <c r="L2613" s="39">
        <f>IFERROR(IF(OR(J2613=0,K2613=""),"",IF(E2613="Positivo",MIN(MAX(K2613/J2613,0),1.3),MIN(MAX(J2613/K2613,0),1.3))),"")</f>
        <v>1.3</v>
      </c>
      <c r="M2613" s="39">
        <f>IFERROR(IF(OR(J2613=0,K2613=""),"",IF(E2613="Positivo",MAX(K2613/J2613,0),MAX(J2613/K2613,0))),"")</f>
        <v>1.625</v>
      </c>
      <c r="N2613" t="s">
        <v>128</v>
      </c>
      <c r="O2613" t="s">
        <v>128</v>
      </c>
      <c r="P2613">
        <v>0</v>
      </c>
      <c r="Q2613">
        <v>0</v>
      </c>
      <c r="R2613" t="s">
        <v>1489</v>
      </c>
    </row>
    <row r="2614" spans="1:19" hidden="1" x14ac:dyDescent="0.3">
      <c r="A2614">
        <v>546</v>
      </c>
      <c r="B2614" t="s">
        <v>1490</v>
      </c>
      <c r="C2614" t="s">
        <v>842</v>
      </c>
      <c r="D2614" t="s">
        <v>71</v>
      </c>
      <c r="E2614" t="s">
        <v>22</v>
      </c>
      <c r="F2614" s="79">
        <v>46022</v>
      </c>
      <c r="G2614">
        <v>2025</v>
      </c>
      <c r="H2614" t="s">
        <v>23</v>
      </c>
      <c r="I2614" t="s">
        <v>32</v>
      </c>
      <c r="J2614">
        <v>100</v>
      </c>
      <c r="K2614">
        <v>113.38</v>
      </c>
      <c r="L2614" s="39">
        <f>IFERROR(IF(OR(J2614=0,K2614=""),"",IF(E2614="Positivo",MIN(MAX(K2614/J2614,0),1.3),MIN(MAX(J2614/K2614,0),1.3))),"")</f>
        <v>1.1337999999999999</v>
      </c>
      <c r="M2614" s="39">
        <f>IFERROR(IF(OR(J2614=0,K2614=""),"",IF(E2614="Positivo",MAX(K2614/J2614,0),MAX(J2614/K2614,0))),"")</f>
        <v>1.1337999999999999</v>
      </c>
      <c r="N2614" t="s">
        <v>25</v>
      </c>
      <c r="O2614" t="s">
        <v>25</v>
      </c>
      <c r="P2614">
        <v>0</v>
      </c>
      <c r="Q2614">
        <v>0</v>
      </c>
      <c r="R2614" t="s">
        <v>1491</v>
      </c>
    </row>
    <row r="2615" spans="1:19" hidden="1" x14ac:dyDescent="0.3">
      <c r="A2615">
        <v>547</v>
      </c>
      <c r="B2615" t="s">
        <v>1492</v>
      </c>
      <c r="C2615" t="s">
        <v>842</v>
      </c>
      <c r="D2615" t="s">
        <v>71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K2615">
        <v>92</v>
      </c>
      <c r="L2615" s="39"/>
      <c r="M2615" s="39"/>
      <c r="N2615" t="s">
        <v>25</v>
      </c>
      <c r="O2615" t="s">
        <v>25</v>
      </c>
      <c r="P2615">
        <v>0</v>
      </c>
      <c r="Q2615">
        <v>0</v>
      </c>
      <c r="R2615" t="s">
        <v>1493</v>
      </c>
    </row>
    <row r="2616" spans="1:19" hidden="1" x14ac:dyDescent="0.3">
      <c r="A2616">
        <v>550</v>
      </c>
      <c r="B2616" t="s">
        <v>1494</v>
      </c>
      <c r="C2616" t="s">
        <v>1097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95</v>
      </c>
      <c r="L2616" s="39">
        <f t="shared" ref="L2616:L2626" si="170">IFERROR(IF(OR(J2616=0,K2616=""),"",IF(E2616="Positivo",MIN(MAX(K2616/J2616,0),1.3),MIN(MAX(J2616/K2616,0),1.3))),"")</f>
        <v>1.1875</v>
      </c>
      <c r="M2616" s="39">
        <f t="shared" ref="M2616:M2626" si="171">IFERROR(IF(OR(J2616=0,K2616=""),"",IF(E2616="Positivo",MAX(K2616/J2616,0),MAX(J2616/K2616,0))),"")</f>
        <v>1.1875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550</v>
      </c>
      <c r="B2617" t="s">
        <v>1494</v>
      </c>
      <c r="C2617" t="s">
        <v>1097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95.5</v>
      </c>
      <c r="L2617" s="39">
        <f t="shared" si="170"/>
        <v>1.1937500000000001</v>
      </c>
      <c r="M2617" s="39">
        <f t="shared" si="171"/>
        <v>1.1937500000000001</v>
      </c>
      <c r="N2617" t="s">
        <v>25</v>
      </c>
      <c r="O2617" t="s">
        <v>25</v>
      </c>
      <c r="P2617">
        <v>0</v>
      </c>
      <c r="Q2617">
        <v>0</v>
      </c>
      <c r="R2617" t="s">
        <v>1495</v>
      </c>
    </row>
    <row r="2618" spans="1:19" hidden="1" x14ac:dyDescent="0.3">
      <c r="A2618">
        <v>551</v>
      </c>
      <c r="B2618" t="s">
        <v>1496</v>
      </c>
      <c r="C2618" t="s">
        <v>1097</v>
      </c>
      <c r="D2618" t="s">
        <v>21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4</v>
      </c>
      <c r="K2618">
        <v>5</v>
      </c>
      <c r="L2618" s="39">
        <f t="shared" si="170"/>
        <v>1.25</v>
      </c>
      <c r="M2618" s="39">
        <f t="shared" si="171"/>
        <v>1.25</v>
      </c>
      <c r="N2618" t="s">
        <v>25</v>
      </c>
      <c r="O2618" t="s">
        <v>25</v>
      </c>
      <c r="P2618">
        <v>0</v>
      </c>
      <c r="Q2618">
        <v>0</v>
      </c>
      <c r="R2618" t="s">
        <v>3234</v>
      </c>
    </row>
    <row r="2619" spans="1:19" hidden="1" x14ac:dyDescent="0.3">
      <c r="A2619">
        <v>551</v>
      </c>
      <c r="B2619" t="s">
        <v>1496</v>
      </c>
      <c r="C2619" t="s">
        <v>1097</v>
      </c>
      <c r="D2619" t="s">
        <v>21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4</v>
      </c>
      <c r="K2619">
        <v>5</v>
      </c>
      <c r="L2619" s="39">
        <f t="shared" si="170"/>
        <v>1.25</v>
      </c>
      <c r="M2619" s="39">
        <f t="shared" si="171"/>
        <v>1.25</v>
      </c>
      <c r="N2619" t="s">
        <v>25</v>
      </c>
      <c r="O2619" t="s">
        <v>25</v>
      </c>
      <c r="P2619">
        <v>0</v>
      </c>
      <c r="Q2619">
        <v>0</v>
      </c>
      <c r="R2619" t="s">
        <v>1497</v>
      </c>
    </row>
    <row r="2620" spans="1:19" hidden="1" x14ac:dyDescent="0.3">
      <c r="A2620">
        <v>552</v>
      </c>
      <c r="B2620" t="s">
        <v>1498</v>
      </c>
      <c r="C2620" t="s">
        <v>951</v>
      </c>
      <c r="D2620" t="s">
        <v>71</v>
      </c>
      <c r="E2620" t="s">
        <v>22</v>
      </c>
      <c r="F2620" s="79">
        <v>45838</v>
      </c>
      <c r="G2620">
        <v>2025</v>
      </c>
      <c r="H2620" t="s">
        <v>699</v>
      </c>
      <c r="I2620" t="s">
        <v>700</v>
      </c>
      <c r="J2620">
        <v>80</v>
      </c>
      <c r="K2620">
        <v>92</v>
      </c>
      <c r="L2620" s="39">
        <f t="shared" si="170"/>
        <v>1.1499999999999999</v>
      </c>
      <c r="M2620" s="39">
        <f t="shared" si="171"/>
        <v>1.1499999999999999</v>
      </c>
      <c r="N2620" t="s">
        <v>25</v>
      </c>
      <c r="O2620" t="s">
        <v>25</v>
      </c>
      <c r="P2620">
        <v>0</v>
      </c>
      <c r="Q2620">
        <v>0</v>
      </c>
      <c r="R2620" t="s">
        <v>3235</v>
      </c>
    </row>
    <row r="2621" spans="1:19" hidden="1" x14ac:dyDescent="0.3">
      <c r="A2621">
        <v>552</v>
      </c>
      <c r="B2621" t="s">
        <v>1498</v>
      </c>
      <c r="C2621" t="s">
        <v>951</v>
      </c>
      <c r="D2621" t="s">
        <v>71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92</v>
      </c>
      <c r="L2621" s="39">
        <f t="shared" si="170"/>
        <v>1.1499999999999999</v>
      </c>
      <c r="M2621" s="39">
        <f t="shared" si="171"/>
        <v>1.1499999999999999</v>
      </c>
      <c r="N2621" t="s">
        <v>25</v>
      </c>
      <c r="O2621" t="s">
        <v>25</v>
      </c>
      <c r="P2621">
        <v>0</v>
      </c>
      <c r="Q2621">
        <v>0</v>
      </c>
      <c r="R2621" t="s">
        <v>1499</v>
      </c>
    </row>
    <row r="2622" spans="1:19" hidden="1" x14ac:dyDescent="0.3">
      <c r="A2622">
        <v>553</v>
      </c>
      <c r="B2622" t="s">
        <v>1500</v>
      </c>
      <c r="C2622" t="s">
        <v>1020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80</v>
      </c>
      <c r="K2622">
        <v>83</v>
      </c>
      <c r="L2622" s="39">
        <f t="shared" si="170"/>
        <v>1.0375000000000001</v>
      </c>
      <c r="M2622" s="39">
        <f t="shared" si="171"/>
        <v>1.0375000000000001</v>
      </c>
      <c r="N2622" t="s">
        <v>25</v>
      </c>
      <c r="O2622" t="s">
        <v>25</v>
      </c>
      <c r="P2622">
        <v>0</v>
      </c>
      <c r="Q2622">
        <v>0</v>
      </c>
      <c r="R2622" t="s">
        <v>1501</v>
      </c>
    </row>
    <row r="2623" spans="1:19" hidden="1" x14ac:dyDescent="0.3">
      <c r="A2623">
        <v>554</v>
      </c>
      <c r="B2623" t="s">
        <v>1502</v>
      </c>
      <c r="C2623" t="s">
        <v>536</v>
      </c>
      <c r="D2623" t="s">
        <v>21</v>
      </c>
      <c r="E2623" t="s">
        <v>22</v>
      </c>
      <c r="F2623" s="79">
        <v>45838</v>
      </c>
      <c r="G2623">
        <v>2025</v>
      </c>
      <c r="H2623" t="s">
        <v>699</v>
      </c>
      <c r="I2623" t="s">
        <v>700</v>
      </c>
      <c r="J2623">
        <v>80</v>
      </c>
      <c r="K2623">
        <v>0</v>
      </c>
      <c r="L2623" s="39">
        <f t="shared" si="170"/>
        <v>0</v>
      </c>
      <c r="M2623" s="39">
        <f t="shared" si="171"/>
        <v>0</v>
      </c>
      <c r="N2623" t="s">
        <v>25</v>
      </c>
      <c r="O2623" t="s">
        <v>25</v>
      </c>
      <c r="P2623">
        <v>0</v>
      </c>
      <c r="Q2623">
        <v>0</v>
      </c>
      <c r="R2623" t="s">
        <v>3236</v>
      </c>
    </row>
    <row r="2624" spans="1:19" hidden="1" x14ac:dyDescent="0.3">
      <c r="A2624">
        <v>554</v>
      </c>
      <c r="B2624" t="s">
        <v>1502</v>
      </c>
      <c r="C2624" t="s">
        <v>536</v>
      </c>
      <c r="D2624" t="s">
        <v>21</v>
      </c>
      <c r="E2624" t="s">
        <v>22</v>
      </c>
      <c r="F2624" s="79">
        <v>46022</v>
      </c>
      <c r="G2624">
        <v>2025</v>
      </c>
      <c r="H2624" t="s">
        <v>23</v>
      </c>
      <c r="I2624" t="s">
        <v>32</v>
      </c>
      <c r="J2624">
        <v>80</v>
      </c>
      <c r="K2624">
        <v>95</v>
      </c>
      <c r="L2624" s="39">
        <f t="shared" si="170"/>
        <v>1.1875</v>
      </c>
      <c r="M2624" s="39">
        <f t="shared" si="171"/>
        <v>1.1875</v>
      </c>
      <c r="N2624" t="s">
        <v>25</v>
      </c>
      <c r="O2624" t="s">
        <v>25</v>
      </c>
      <c r="P2624">
        <v>0</v>
      </c>
      <c r="Q2624">
        <v>0</v>
      </c>
      <c r="R2624" t="s">
        <v>1503</v>
      </c>
    </row>
    <row r="2625" spans="1:18" hidden="1" x14ac:dyDescent="0.3">
      <c r="A2625">
        <v>555</v>
      </c>
      <c r="B2625" t="s">
        <v>1504</v>
      </c>
      <c r="C2625" t="s">
        <v>1044</v>
      </c>
      <c r="D2625" t="s">
        <v>21</v>
      </c>
      <c r="E2625" t="s">
        <v>22</v>
      </c>
      <c r="F2625" s="79">
        <v>46022</v>
      </c>
      <c r="G2625">
        <v>2025</v>
      </c>
      <c r="H2625" t="s">
        <v>23</v>
      </c>
      <c r="I2625" t="s">
        <v>32</v>
      </c>
      <c r="J2625">
        <v>80</v>
      </c>
      <c r="K2625">
        <v>100</v>
      </c>
      <c r="L2625" s="39">
        <f t="shared" si="170"/>
        <v>1.25</v>
      </c>
      <c r="M2625" s="39">
        <f t="shared" si="171"/>
        <v>1.25</v>
      </c>
      <c r="N2625" t="s">
        <v>25</v>
      </c>
      <c r="O2625" t="s">
        <v>25</v>
      </c>
      <c r="P2625">
        <v>0</v>
      </c>
      <c r="Q2625">
        <v>0</v>
      </c>
      <c r="R2625" t="s">
        <v>1505</v>
      </c>
    </row>
    <row r="2626" spans="1:18" hidden="1" x14ac:dyDescent="0.3">
      <c r="A2626">
        <v>556</v>
      </c>
      <c r="B2626" t="s">
        <v>1506</v>
      </c>
      <c r="C2626" t="s">
        <v>40</v>
      </c>
      <c r="D2626" t="s">
        <v>71</v>
      </c>
      <c r="E2626" t="s">
        <v>22</v>
      </c>
      <c r="F2626" s="79">
        <v>46022</v>
      </c>
      <c r="G2626">
        <v>2025</v>
      </c>
      <c r="H2626" t="s">
        <v>23</v>
      </c>
      <c r="I2626" t="s">
        <v>32</v>
      </c>
      <c r="J2626">
        <v>70</v>
      </c>
      <c r="K2626">
        <v>113.75</v>
      </c>
      <c r="L2626" s="39">
        <f t="shared" si="170"/>
        <v>1.3</v>
      </c>
      <c r="M2626" s="39">
        <f t="shared" si="171"/>
        <v>1.625</v>
      </c>
      <c r="N2626" t="s">
        <v>25</v>
      </c>
      <c r="O2626" t="s">
        <v>25</v>
      </c>
      <c r="P2626">
        <v>0</v>
      </c>
      <c r="Q2626">
        <v>0</v>
      </c>
      <c r="R2626" t="s">
        <v>1507</v>
      </c>
    </row>
    <row r="2627" spans="1:18" hidden="1" x14ac:dyDescent="0.3">
      <c r="A2627" s="5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44742</v>
      </c>
      <c r="G2627" s="5">
        <v>2022</v>
      </c>
      <c r="H2627" s="5" t="s">
        <v>699</v>
      </c>
      <c r="I2627" s="6" t="s">
        <v>1510</v>
      </c>
      <c r="J2627" s="5">
        <v>39623</v>
      </c>
      <c r="K2627" s="9">
        <v>40000</v>
      </c>
      <c r="L2627" s="14">
        <v>1.0095146758195996</v>
      </c>
      <c r="M2627" s="14">
        <v>1.0095146758195996</v>
      </c>
      <c r="N2627" s="5" t="s">
        <v>128</v>
      </c>
      <c r="O2627" s="5" t="s">
        <v>128</v>
      </c>
      <c r="P2627" s="5">
        <v>0</v>
      </c>
      <c r="Q2627" s="5">
        <v>0</v>
      </c>
      <c r="R2627" s="5" t="s">
        <v>4381</v>
      </c>
    </row>
    <row r="2628" spans="1:18" hidden="1" x14ac:dyDescent="0.3">
      <c r="A2628" s="5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84">
        <v>44926</v>
      </c>
      <c r="G2628" s="5">
        <v>2022</v>
      </c>
      <c r="H2628" s="5" t="s">
        <v>23</v>
      </c>
      <c r="I2628" s="6" t="s">
        <v>24</v>
      </c>
      <c r="J2628" s="5">
        <v>39817</v>
      </c>
      <c r="K2628" s="9">
        <v>40663</v>
      </c>
      <c r="L2628" s="14">
        <v>1.0212472059673003</v>
      </c>
      <c r="M2628" s="14">
        <v>1.0212472059673003</v>
      </c>
      <c r="N2628" s="5" t="s">
        <v>128</v>
      </c>
      <c r="O2628" s="5" t="s">
        <v>128</v>
      </c>
      <c r="P2628" s="5">
        <v>0</v>
      </c>
      <c r="Q2628" s="5">
        <v>0</v>
      </c>
      <c r="R2628" s="5" t="s">
        <v>4382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45107</v>
      </c>
      <c r="G2629" s="5">
        <v>2023</v>
      </c>
      <c r="H2629" s="5" t="s">
        <v>699</v>
      </c>
      <c r="I2629" s="6" t="s">
        <v>1512</v>
      </c>
      <c r="J2629" s="5">
        <v>40047</v>
      </c>
      <c r="K2629" s="9">
        <v>39091</v>
      </c>
      <c r="L2629" s="14">
        <v>0.97612804954178845</v>
      </c>
      <c r="M2629" s="14">
        <v>0.97612804954178845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2492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45291</v>
      </c>
      <c r="G2630" s="5">
        <v>2023</v>
      </c>
      <c r="H2630" s="5" t="s">
        <v>23</v>
      </c>
      <c r="I2630" s="6" t="s">
        <v>28</v>
      </c>
      <c r="J2630" s="5">
        <v>42012</v>
      </c>
      <c r="K2630" s="9">
        <v>40771</v>
      </c>
      <c r="L2630" s="14">
        <v>0.97046082071789008</v>
      </c>
      <c r="M2630" s="14">
        <v>0.97046082071789008</v>
      </c>
      <c r="N2630" s="5" t="s">
        <v>128</v>
      </c>
      <c r="O2630" s="5" t="s">
        <v>128</v>
      </c>
      <c r="P2630" s="15">
        <v>0</v>
      </c>
      <c r="Q2630" s="15">
        <v>0</v>
      </c>
      <c r="R2630" s="5" t="s">
        <v>649</v>
      </c>
    </row>
    <row r="2631" spans="1:18" hidden="1" x14ac:dyDescent="0.3">
      <c r="A2631" s="21">
        <v>274</v>
      </c>
      <c r="B2631" s="5" t="s">
        <v>648</v>
      </c>
      <c r="C2631" s="5" t="s">
        <v>586</v>
      </c>
      <c r="D2631" s="5" t="s">
        <v>27</v>
      </c>
      <c r="E2631" s="5" t="s">
        <v>22</v>
      </c>
      <c r="F2631" s="84">
        <v>45473</v>
      </c>
      <c r="G2631" s="5">
        <v>2024</v>
      </c>
      <c r="H2631" s="5" t="s">
        <v>699</v>
      </c>
      <c r="I2631" s="6" t="s">
        <v>729</v>
      </c>
      <c r="J2631" s="5">
        <v>38813</v>
      </c>
      <c r="K2631" s="9">
        <v>39598</v>
      </c>
      <c r="L2631" s="14">
        <v>1.0202251822842863</v>
      </c>
      <c r="M2631" s="14">
        <v>1.0202251822842863</v>
      </c>
      <c r="N2631" s="5" t="s">
        <v>128</v>
      </c>
      <c r="O2631" s="5" t="s">
        <v>128</v>
      </c>
      <c r="P2631" s="15">
        <v>0</v>
      </c>
      <c r="Q2631" s="15">
        <v>0</v>
      </c>
      <c r="R2631" s="5" t="s">
        <v>2493</v>
      </c>
    </row>
    <row r="2632" spans="1:18" hidden="1" x14ac:dyDescent="0.3">
      <c r="A2632" s="21">
        <v>274</v>
      </c>
      <c r="B2632" s="5" t="s">
        <v>648</v>
      </c>
      <c r="C2632" s="5" t="s">
        <v>586</v>
      </c>
      <c r="D2632" s="5" t="s">
        <v>27</v>
      </c>
      <c r="E2632" s="5" t="s">
        <v>22</v>
      </c>
      <c r="F2632" s="6">
        <v>45657</v>
      </c>
      <c r="G2632" s="5">
        <v>2024</v>
      </c>
      <c r="H2632" s="5" t="s">
        <v>23</v>
      </c>
      <c r="I2632" s="6" t="s">
        <v>30</v>
      </c>
      <c r="J2632" s="5">
        <v>40441</v>
      </c>
      <c r="K2632" s="15">
        <v>41436</v>
      </c>
      <c r="L2632" s="14">
        <v>1.0246037437254272</v>
      </c>
      <c r="M2632" s="14">
        <v>1.0246037437254272</v>
      </c>
      <c r="N2632" s="5" t="s">
        <v>128</v>
      </c>
      <c r="O2632" s="5" t="s">
        <v>128</v>
      </c>
      <c r="P2632" s="15">
        <v>0</v>
      </c>
      <c r="Q2632" s="15">
        <v>0</v>
      </c>
      <c r="R2632" s="5" t="s">
        <v>650</v>
      </c>
    </row>
    <row r="2633" spans="1:18" hidden="1" x14ac:dyDescent="0.3">
      <c r="A2633" s="21">
        <v>274</v>
      </c>
      <c r="B2633" s="5" t="s">
        <v>648</v>
      </c>
      <c r="C2633" s="5" t="s">
        <v>586</v>
      </c>
      <c r="D2633" s="5" t="s">
        <v>27</v>
      </c>
      <c r="E2633" s="5" t="s">
        <v>22</v>
      </c>
      <c r="F2633" s="84">
        <v>45838</v>
      </c>
      <c r="G2633" s="5">
        <v>2025</v>
      </c>
      <c r="H2633" s="5" t="s">
        <v>699</v>
      </c>
      <c r="I2633" s="6" t="s">
        <v>700</v>
      </c>
      <c r="J2633" s="5">
        <v>40441</v>
      </c>
      <c r="K2633" s="5">
        <v>41436</v>
      </c>
      <c r="L2633" s="14">
        <v>1.0246037437254272</v>
      </c>
      <c r="M2633" s="14">
        <v>1.0246037437254272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2494</v>
      </c>
    </row>
    <row r="2634" spans="1:18" hidden="1" x14ac:dyDescent="0.3">
      <c r="A2634" s="5">
        <v>274</v>
      </c>
      <c r="B2634" s="5" t="s">
        <v>648</v>
      </c>
      <c r="C2634" s="5" t="s">
        <v>586</v>
      </c>
      <c r="D2634" s="5" t="s">
        <v>27</v>
      </c>
      <c r="E2634" s="5" t="s">
        <v>22</v>
      </c>
      <c r="F2634" s="6">
        <v>46022</v>
      </c>
      <c r="G2634" s="5">
        <v>2025</v>
      </c>
      <c r="H2634" s="5" t="s">
        <v>23</v>
      </c>
      <c r="I2634" s="6" t="s">
        <v>32</v>
      </c>
      <c r="J2634" s="85">
        <v>44737</v>
      </c>
      <c r="K2634" s="9">
        <v>45583</v>
      </c>
      <c r="L2634" s="14">
        <v>1.0189105214922771</v>
      </c>
      <c r="M2634" s="14">
        <v>1.0189105214922771</v>
      </c>
      <c r="N2634" s="5" t="s">
        <v>128</v>
      </c>
      <c r="O2634" s="5" t="s">
        <v>128</v>
      </c>
      <c r="P2634" s="5">
        <v>0</v>
      </c>
      <c r="Q2634" s="5">
        <v>0</v>
      </c>
      <c r="R2634" s="5" t="s">
        <v>651</v>
      </c>
    </row>
    <row r="2635" spans="1:18" hidden="1" x14ac:dyDescent="0.3">
      <c r="A2635" s="5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84">
        <v>44742</v>
      </c>
      <c r="G2635" s="5">
        <v>2022</v>
      </c>
      <c r="H2635" s="5" t="s">
        <v>699</v>
      </c>
      <c r="I2635" s="6" t="s">
        <v>1510</v>
      </c>
      <c r="J2635" s="9">
        <v>10808</v>
      </c>
      <c r="K2635" s="9">
        <v>11013</v>
      </c>
      <c r="L2635" s="14">
        <v>1.0189674315321984</v>
      </c>
      <c r="M2635" s="14">
        <v>1.0189674315321984</v>
      </c>
      <c r="N2635" s="5" t="s">
        <v>128</v>
      </c>
      <c r="O2635" s="5" t="s">
        <v>128</v>
      </c>
      <c r="P2635" s="5">
        <v>0</v>
      </c>
      <c r="Q2635" s="5">
        <v>0</v>
      </c>
      <c r="R2635" s="5" t="s">
        <v>4383</v>
      </c>
    </row>
    <row r="2636" spans="1:18" hidden="1" x14ac:dyDescent="0.3">
      <c r="A2636" s="5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84">
        <v>44926</v>
      </c>
      <c r="G2636" s="5">
        <v>2022</v>
      </c>
      <c r="H2636" s="5" t="s">
        <v>23</v>
      </c>
      <c r="I2636" s="6" t="s">
        <v>24</v>
      </c>
      <c r="J2636" s="9">
        <v>9192</v>
      </c>
      <c r="K2636" s="9">
        <v>9678</v>
      </c>
      <c r="L2636" s="14">
        <v>1.0528720626631853</v>
      </c>
      <c r="M2636" s="14">
        <v>1.0528720626631853</v>
      </c>
      <c r="N2636" s="5" t="s">
        <v>128</v>
      </c>
      <c r="O2636" s="5" t="s">
        <v>128</v>
      </c>
      <c r="P2636" s="5">
        <v>0</v>
      </c>
      <c r="Q2636" s="5">
        <v>0</v>
      </c>
      <c r="R2636" s="5" t="s">
        <v>4384</v>
      </c>
    </row>
    <row r="2637" spans="1:18" hidden="1" x14ac:dyDescent="0.3">
      <c r="A2637" s="28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45107</v>
      </c>
      <c r="G2637" s="5">
        <v>2023</v>
      </c>
      <c r="H2637" s="5" t="s">
        <v>699</v>
      </c>
      <c r="I2637" s="6" t="s">
        <v>1512</v>
      </c>
      <c r="J2637" s="9">
        <v>12130</v>
      </c>
      <c r="K2637" s="9">
        <v>12461</v>
      </c>
      <c r="L2637" s="14">
        <v>1.027287716405606</v>
      </c>
      <c r="M2637" s="14">
        <v>1.027287716405606</v>
      </c>
      <c r="N2637" s="5" t="s">
        <v>128</v>
      </c>
      <c r="O2637" s="5" t="s">
        <v>128</v>
      </c>
      <c r="P2637" s="15">
        <v>0</v>
      </c>
      <c r="Q2637" s="15">
        <v>0</v>
      </c>
      <c r="R2637" s="5" t="s">
        <v>2778</v>
      </c>
    </row>
    <row r="2638" spans="1:18" hidden="1" x14ac:dyDescent="0.3">
      <c r="A2638" s="26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45291</v>
      </c>
      <c r="G2638" s="5">
        <v>2023</v>
      </c>
      <c r="H2638" s="5" t="s">
        <v>23</v>
      </c>
      <c r="I2638" s="6" t="s">
        <v>28</v>
      </c>
      <c r="J2638" s="9">
        <v>9876</v>
      </c>
      <c r="K2638" s="9">
        <v>10730</v>
      </c>
      <c r="L2638" s="14">
        <v>1.0864722559740785</v>
      </c>
      <c r="M2638" s="14">
        <v>1.0864722559740785</v>
      </c>
      <c r="N2638" s="5" t="s">
        <v>128</v>
      </c>
      <c r="O2638" s="5" t="s">
        <v>128</v>
      </c>
      <c r="P2638" s="15">
        <v>0</v>
      </c>
      <c r="Q2638" s="15">
        <v>0</v>
      </c>
      <c r="R2638" s="5" t="s">
        <v>1021</v>
      </c>
    </row>
    <row r="2639" spans="1:18" hidden="1" x14ac:dyDescent="0.3">
      <c r="A2639" s="28">
        <v>379</v>
      </c>
      <c r="B2639" s="5" t="s">
        <v>1019</v>
      </c>
      <c r="C2639" s="5" t="s">
        <v>1020</v>
      </c>
      <c r="D2639" s="5" t="s">
        <v>27</v>
      </c>
      <c r="E2639" s="5" t="s">
        <v>22</v>
      </c>
      <c r="F2639" s="6">
        <v>45473</v>
      </c>
      <c r="G2639" s="5">
        <v>2024</v>
      </c>
      <c r="H2639" s="5" t="s">
        <v>699</v>
      </c>
      <c r="I2639" s="6" t="s">
        <v>729</v>
      </c>
      <c r="J2639" s="9">
        <v>13590</v>
      </c>
      <c r="K2639" s="9">
        <v>12987</v>
      </c>
      <c r="L2639" s="14">
        <v>0.95562913907284763</v>
      </c>
      <c r="M2639" s="14">
        <v>0.95562913907284763</v>
      </c>
      <c r="N2639" s="5" t="s">
        <v>128</v>
      </c>
      <c r="O2639" s="5" t="s">
        <v>128</v>
      </c>
      <c r="P2639" s="15">
        <v>0</v>
      </c>
      <c r="Q2639" s="15">
        <v>0</v>
      </c>
      <c r="R2639" s="5" t="s">
        <v>2779</v>
      </c>
    </row>
    <row r="2640" spans="1:18" hidden="1" x14ac:dyDescent="0.3">
      <c r="A2640" s="21">
        <v>379</v>
      </c>
      <c r="B2640" s="5" t="s">
        <v>1019</v>
      </c>
      <c r="C2640" s="5" t="s">
        <v>1020</v>
      </c>
      <c r="D2640" s="5" t="s">
        <v>27</v>
      </c>
      <c r="E2640" s="5" t="s">
        <v>22</v>
      </c>
      <c r="F2640" s="6">
        <v>45657</v>
      </c>
      <c r="G2640" s="5">
        <v>2024</v>
      </c>
      <c r="H2640" s="5" t="s">
        <v>23</v>
      </c>
      <c r="I2640" s="6" t="s">
        <v>30</v>
      </c>
      <c r="J2640" s="9">
        <v>10675</v>
      </c>
      <c r="K2640" s="9">
        <v>10569</v>
      </c>
      <c r="L2640" s="14">
        <v>0.99007025761124123</v>
      </c>
      <c r="M2640" s="14">
        <v>0.99007025761124123</v>
      </c>
      <c r="N2640" s="5" t="s">
        <v>128</v>
      </c>
      <c r="O2640" s="5" t="s">
        <v>128</v>
      </c>
      <c r="P2640" s="15">
        <v>0</v>
      </c>
      <c r="Q2640" s="15">
        <v>0</v>
      </c>
      <c r="R2640" s="5" t="s">
        <v>1022</v>
      </c>
    </row>
    <row r="2641" spans="1:18" hidden="1" x14ac:dyDescent="0.3">
      <c r="A2641" s="5">
        <v>379</v>
      </c>
      <c r="B2641" s="5" t="s">
        <v>1019</v>
      </c>
      <c r="C2641" s="5" t="s">
        <v>1020</v>
      </c>
      <c r="D2641" s="5" t="s">
        <v>27</v>
      </c>
      <c r="E2641" s="5" t="s">
        <v>22</v>
      </c>
      <c r="F2641" s="6">
        <v>45838</v>
      </c>
      <c r="G2641" s="5">
        <v>2025</v>
      </c>
      <c r="H2641" s="5" t="s">
        <v>699</v>
      </c>
      <c r="I2641" s="6" t="s">
        <v>700</v>
      </c>
      <c r="J2641" s="5">
        <v>13609</v>
      </c>
      <c r="K2641" s="5">
        <v>14141</v>
      </c>
      <c r="L2641" s="14">
        <v>1.0390917775001838</v>
      </c>
      <c r="M2641" s="14">
        <v>1.0390917775001838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2780</v>
      </c>
    </row>
    <row r="2642" spans="1:18" hidden="1" x14ac:dyDescent="0.3">
      <c r="A2642" s="5">
        <v>379</v>
      </c>
      <c r="B2642" s="5" t="s">
        <v>1019</v>
      </c>
      <c r="C2642" s="5" t="s">
        <v>1020</v>
      </c>
      <c r="D2642" s="5" t="s">
        <v>27</v>
      </c>
      <c r="E2642" s="5" t="s">
        <v>22</v>
      </c>
      <c r="F2642" s="6">
        <v>46022</v>
      </c>
      <c r="G2642" s="5">
        <v>2025</v>
      </c>
      <c r="H2642" s="5" t="s">
        <v>23</v>
      </c>
      <c r="I2642" s="6" t="s">
        <v>32</v>
      </c>
      <c r="J2642" s="5">
        <v>11018</v>
      </c>
      <c r="K2642" s="5">
        <v>11224</v>
      </c>
      <c r="L2642" s="14">
        <v>1.018696678163006</v>
      </c>
      <c r="M2642" s="14">
        <v>1.018696678163006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1023</v>
      </c>
    </row>
    <row r="2643" spans="1:18" hidden="1" x14ac:dyDescent="0.3">
      <c r="A2643" s="5">
        <v>14</v>
      </c>
      <c r="B2643" s="5" t="s">
        <v>4385</v>
      </c>
      <c r="C2643" s="5" t="s">
        <v>333</v>
      </c>
      <c r="D2643" s="5" t="s">
        <v>27</v>
      </c>
      <c r="E2643" s="5" t="s">
        <v>22</v>
      </c>
      <c r="F2643" s="6">
        <v>44742</v>
      </c>
      <c r="G2643" s="15">
        <v>2022</v>
      </c>
      <c r="H2643" s="6" t="s">
        <v>699</v>
      </c>
      <c r="I2643" s="27" t="s">
        <v>1510</v>
      </c>
      <c r="J2643" s="9">
        <v>49004</v>
      </c>
      <c r="K2643" s="86">
        <v>51012</v>
      </c>
      <c r="L2643" s="14">
        <v>1.040976246836993</v>
      </c>
      <c r="M2643" s="14">
        <v>1.040976246836993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8" hidden="1" x14ac:dyDescent="0.3">
      <c r="A2644" s="5">
        <v>14</v>
      </c>
      <c r="B2644" s="5" t="s">
        <v>4385</v>
      </c>
      <c r="C2644" s="5" t="s">
        <v>333</v>
      </c>
      <c r="D2644" s="5" t="s">
        <v>27</v>
      </c>
      <c r="E2644" s="5" t="s">
        <v>22</v>
      </c>
      <c r="F2644" s="84">
        <v>44926</v>
      </c>
      <c r="G2644" s="15">
        <v>2022</v>
      </c>
      <c r="H2644" s="6" t="s">
        <v>23</v>
      </c>
      <c r="I2644" s="27" t="s">
        <v>24</v>
      </c>
      <c r="J2644" s="9">
        <v>50430</v>
      </c>
      <c r="K2644" s="9">
        <v>50241</v>
      </c>
      <c r="L2644" s="14">
        <v>0.99625223081499104</v>
      </c>
      <c r="M2644" s="14">
        <v>0.99625223081499104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8" hidden="1" x14ac:dyDescent="0.3">
      <c r="A2645" s="5">
        <v>14</v>
      </c>
      <c r="B2645" s="5" t="s">
        <v>4385</v>
      </c>
      <c r="C2645" s="5" t="s">
        <v>333</v>
      </c>
      <c r="D2645" s="5" t="s">
        <v>27</v>
      </c>
      <c r="E2645" s="5" t="s">
        <v>22</v>
      </c>
      <c r="F2645" s="6">
        <v>45107</v>
      </c>
      <c r="G2645" s="15">
        <v>2023</v>
      </c>
      <c r="H2645" s="6" t="s">
        <v>699</v>
      </c>
      <c r="I2645" s="27" t="s">
        <v>1512</v>
      </c>
      <c r="J2645" s="9">
        <v>52177</v>
      </c>
      <c r="K2645" s="9">
        <v>51473</v>
      </c>
      <c r="L2645" s="14">
        <v>0.98650746497498898</v>
      </c>
      <c r="M2645" s="14">
        <v>0.98650746497498898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8" hidden="1" x14ac:dyDescent="0.3">
      <c r="A2646" s="5">
        <v>14</v>
      </c>
      <c r="B2646" s="5" t="s">
        <v>4385</v>
      </c>
      <c r="C2646" s="5" t="s">
        <v>333</v>
      </c>
      <c r="D2646" s="5" t="s">
        <v>27</v>
      </c>
      <c r="E2646" s="5" t="s">
        <v>22</v>
      </c>
      <c r="F2646" s="6">
        <v>45291</v>
      </c>
      <c r="G2646" s="15">
        <v>2023</v>
      </c>
      <c r="H2646" s="6" t="s">
        <v>23</v>
      </c>
      <c r="I2646" s="27" t="s">
        <v>28</v>
      </c>
      <c r="J2646" s="9">
        <v>51687</v>
      </c>
      <c r="K2646" s="9">
        <v>51375</v>
      </c>
      <c r="L2646" s="14">
        <v>0.99396366591212493</v>
      </c>
      <c r="M2646" s="14">
        <v>0.99396366591212493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4387</v>
      </c>
    </row>
    <row r="2647" spans="1:18" hidden="1" x14ac:dyDescent="0.3">
      <c r="A2647" s="5">
        <v>14</v>
      </c>
      <c r="B2647" s="5" t="s">
        <v>4385</v>
      </c>
      <c r="C2647" s="5" t="s">
        <v>333</v>
      </c>
      <c r="D2647" s="5" t="s">
        <v>27</v>
      </c>
      <c r="E2647" s="5" t="s">
        <v>22</v>
      </c>
      <c r="F2647" s="6">
        <v>45473</v>
      </c>
      <c r="G2647" s="5">
        <v>2024</v>
      </c>
      <c r="H2647" s="5" t="s">
        <v>699</v>
      </c>
      <c r="I2647" s="6" t="s">
        <v>729</v>
      </c>
      <c r="J2647" s="9">
        <v>52403.186118801452</v>
      </c>
      <c r="K2647" s="9">
        <v>52585</v>
      </c>
      <c r="L2647" s="14">
        <v>1.0034695195972696</v>
      </c>
      <c r="M2647" s="14">
        <v>1.0034695195972696</v>
      </c>
      <c r="N2647" s="5" t="s">
        <v>128</v>
      </c>
      <c r="O2647" s="5" t="s">
        <v>128</v>
      </c>
      <c r="P2647" s="5">
        <v>0</v>
      </c>
      <c r="Q2647" s="5">
        <v>0</v>
      </c>
      <c r="R2647" s="5" t="s">
        <v>4394</v>
      </c>
    </row>
    <row r="2648" spans="1:18" hidden="1" x14ac:dyDescent="0.3">
      <c r="A2648" s="5">
        <v>14</v>
      </c>
      <c r="B2648" s="5" t="s">
        <v>4385</v>
      </c>
      <c r="C2648" s="5" t="s">
        <v>333</v>
      </c>
      <c r="D2648" s="5" t="s">
        <v>27</v>
      </c>
      <c r="E2648" s="5" t="s">
        <v>22</v>
      </c>
      <c r="F2648" s="6">
        <v>45657</v>
      </c>
      <c r="G2648" s="5">
        <v>2024</v>
      </c>
      <c r="H2648" s="5" t="s">
        <v>23</v>
      </c>
      <c r="I2648" s="6" t="s">
        <v>30</v>
      </c>
      <c r="J2648" s="83">
        <v>51116.334115206948</v>
      </c>
      <c r="K2648" s="9">
        <v>52005</v>
      </c>
      <c r="L2648" s="14">
        <v>1.0173851646479608</v>
      </c>
      <c r="M2648" s="14">
        <v>1.0173851646479608</v>
      </c>
      <c r="N2648" s="5" t="s">
        <v>128</v>
      </c>
      <c r="O2648" s="5" t="s">
        <v>128</v>
      </c>
      <c r="P2648" s="5">
        <v>0</v>
      </c>
      <c r="Q2648" s="5">
        <v>0</v>
      </c>
      <c r="R2648" s="5" t="s">
        <v>4388</v>
      </c>
    </row>
    <row r="2649" spans="1:18" hidden="1" x14ac:dyDescent="0.3">
      <c r="A2649" s="5">
        <v>14</v>
      </c>
      <c r="B2649" s="5" t="s">
        <v>4385</v>
      </c>
      <c r="C2649" s="5" t="s">
        <v>333</v>
      </c>
      <c r="D2649" s="5" t="s">
        <v>27</v>
      </c>
      <c r="E2649" s="5" t="s">
        <v>22</v>
      </c>
      <c r="F2649" s="6">
        <v>45838</v>
      </c>
      <c r="G2649" s="5">
        <v>2025</v>
      </c>
      <c r="H2649" s="5" t="s">
        <v>699</v>
      </c>
      <c r="I2649" s="6" t="s">
        <v>700</v>
      </c>
      <c r="J2649" s="9">
        <v>53635</v>
      </c>
      <c r="K2649" s="9">
        <v>56505</v>
      </c>
      <c r="L2649" s="14">
        <v>1.053509834995805</v>
      </c>
      <c r="M2649" s="14">
        <v>1.053509834995805</v>
      </c>
      <c r="N2649" s="5" t="s">
        <v>128</v>
      </c>
      <c r="O2649" s="5" t="s">
        <v>128</v>
      </c>
      <c r="P2649" s="5">
        <v>0</v>
      </c>
      <c r="Q2649" s="5">
        <v>0</v>
      </c>
      <c r="R2649" s="5" t="s">
        <v>4395</v>
      </c>
    </row>
    <row r="2650" spans="1:18" hidden="1" x14ac:dyDescent="0.3">
      <c r="A2650" s="5">
        <v>14</v>
      </c>
      <c r="B2650" s="5" t="s">
        <v>4385</v>
      </c>
      <c r="C2650" s="5" t="s">
        <v>333</v>
      </c>
      <c r="D2650" s="5" t="s">
        <v>27</v>
      </c>
      <c r="E2650" s="5" t="s">
        <v>22</v>
      </c>
      <c r="F2650" s="6">
        <v>46022</v>
      </c>
      <c r="G2650" s="5">
        <v>2025</v>
      </c>
      <c r="H2650" s="5" t="s">
        <v>23</v>
      </c>
      <c r="I2650" s="6" t="s">
        <v>32</v>
      </c>
      <c r="J2650" s="83">
        <v>55756</v>
      </c>
      <c r="K2650" s="9">
        <v>56807</v>
      </c>
      <c r="L2650" s="14">
        <v>1.0188499892388263</v>
      </c>
      <c r="M2650" s="14">
        <v>1.0188499892388263</v>
      </c>
      <c r="N2650" s="5" t="s">
        <v>128</v>
      </c>
      <c r="O2650" s="5" t="s">
        <v>128</v>
      </c>
      <c r="P2650" s="5">
        <v>0</v>
      </c>
      <c r="Q2650" s="5">
        <v>0</v>
      </c>
      <c r="R2650" s="5" t="s">
        <v>4391</v>
      </c>
    </row>
  </sheetData>
  <autoFilter ref="A1:S2650" xr:uid="{00000000-0001-0000-0000-000000000000}">
    <filterColumn colId="0">
      <filters>
        <filter val="122"/>
      </filters>
    </filterColumn>
  </autoFilter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6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302">
    <cfRule type="duplicateValues" dxfId="134" priority="14"/>
  </conditionalFormatting>
  <conditionalFormatting sqref="A2342:A2344">
    <cfRule type="duplicateValues" dxfId="133" priority="13"/>
  </conditionalFormatting>
  <conditionalFormatting sqref="A2345">
    <cfRule type="duplicateValues" dxfId="132" priority="10"/>
  </conditionalFormatting>
  <conditionalFormatting sqref="A2346">
    <cfRule type="duplicateValues" dxfId="131" priority="11"/>
  </conditionalFormatting>
  <conditionalFormatting sqref="A2347:A2348">
    <cfRule type="duplicateValues" dxfId="130" priority="12"/>
  </conditionalFormatting>
  <conditionalFormatting sqref="A2349:A2350">
    <cfRule type="duplicateValues" dxfId="129" priority="9"/>
  </conditionalFormatting>
  <conditionalFormatting sqref="A2398 A2400">
    <cfRule type="duplicateValues" dxfId="128" priority="8"/>
  </conditionalFormatting>
  <conditionalFormatting sqref="A2407">
    <cfRule type="duplicateValues" dxfId="127" priority="7"/>
  </conditionalFormatting>
  <conditionalFormatting sqref="A2408">
    <cfRule type="duplicateValues" dxfId="126" priority="6"/>
  </conditionalFormatting>
  <conditionalFormatting sqref="A2427">
    <cfRule type="duplicateValues" dxfId="125" priority="5"/>
  </conditionalFormatting>
  <conditionalFormatting sqref="A2534">
    <cfRule type="duplicateValues" dxfId="124" priority="3"/>
    <cfRule type="duplicateValues" dxfId="123" priority="4"/>
  </conditionalFormatting>
  <conditionalFormatting sqref="A2643:A2648">
    <cfRule type="duplicateValues" dxfId="122" priority="2"/>
  </conditionalFormatting>
  <conditionalFormatting sqref="A2649:A2650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5"/>
  <sheetViews>
    <sheetView zoomScale="85" zoomScaleNormal="85" workbookViewId="0">
      <pane ySplit="1" topLeftCell="A1657" activePane="bottomLeft" state="frozen"/>
      <selection activeCell="O18" sqref="O18"/>
      <selection pane="bottomLeft" activeCell="A1685" sqref="A1685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2498</v>
      </c>
    </row>
    <row r="706" spans="1:18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2499</v>
      </c>
    </row>
    <row r="708" spans="1:18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2500</v>
      </c>
    </row>
    <row r="710" spans="1:18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2501</v>
      </c>
    </row>
    <row r="712" spans="1:18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2502</v>
      </c>
    </row>
    <row r="714" spans="1:18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2503</v>
      </c>
    </row>
    <row r="716" spans="1:18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2504</v>
      </c>
    </row>
    <row r="718" spans="1:18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2505</v>
      </c>
    </row>
    <row r="720" spans="1:18" x14ac:dyDescent="0.3">
      <c r="A720" s="28">
        <v>277</v>
      </c>
      <c r="B720" s="5" t="s">
        <v>2506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2507</v>
      </c>
    </row>
    <row r="722" spans="1:19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2508</v>
      </c>
    </row>
    <row r="724" spans="1:19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2509</v>
      </c>
      <c r="S725" t="s">
        <v>263</v>
      </c>
    </row>
    <row r="726" spans="1:19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2510</v>
      </c>
    </row>
    <row r="728" spans="1:19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2511</v>
      </c>
    </row>
    <row r="730" spans="1:19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2512</v>
      </c>
    </row>
    <row r="732" spans="1:19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2513</v>
      </c>
    </row>
    <row r="734" spans="1:19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2514</v>
      </c>
    </row>
    <row r="736" spans="1:19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2515</v>
      </c>
    </row>
    <row r="738" spans="1:18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2516</v>
      </c>
    </row>
    <row r="740" spans="1:18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2517</v>
      </c>
    </row>
    <row r="742" spans="1:18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2518</v>
      </c>
    </row>
    <row r="744" spans="1:18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2519</v>
      </c>
    </row>
    <row r="746" spans="1:18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2520</v>
      </c>
    </row>
    <row r="748" spans="1:18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2521</v>
      </c>
    </row>
    <row r="750" spans="1:18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2522</v>
      </c>
    </row>
    <row r="752" spans="1:18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2523</v>
      </c>
    </row>
    <row r="754" spans="1:19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2524</v>
      </c>
    </row>
    <row r="756" spans="1:19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2525</v>
      </c>
      <c r="S757" t="s">
        <v>263</v>
      </c>
    </row>
    <row r="758" spans="1:19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2526</v>
      </c>
    </row>
    <row r="760" spans="1:19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2527</v>
      </c>
    </row>
    <row r="762" spans="1:19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3248</v>
      </c>
    </row>
    <row r="765" spans="1:19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2528</v>
      </c>
    </row>
    <row r="766" spans="1:19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2529</v>
      </c>
    </row>
    <row r="767" spans="1:19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2530</v>
      </c>
    </row>
    <row r="769" spans="1:18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2532</v>
      </c>
    </row>
    <row r="771" spans="1:18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2533</v>
      </c>
    </row>
    <row r="772" spans="1:18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2534</v>
      </c>
    </row>
    <row r="773" spans="1:18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2537</v>
      </c>
    </row>
    <row r="775" spans="1:18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2542</v>
      </c>
    </row>
    <row r="778" spans="1:18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2543</v>
      </c>
    </row>
    <row r="780" spans="1:18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2544</v>
      </c>
    </row>
    <row r="782" spans="1:18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2545</v>
      </c>
    </row>
    <row r="784" spans="1:18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2546</v>
      </c>
    </row>
    <row r="786" spans="1:18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2547</v>
      </c>
    </row>
    <row r="788" spans="1:18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2548</v>
      </c>
    </row>
    <row r="790" spans="1:18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2549</v>
      </c>
    </row>
    <row r="792" spans="1:18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2550</v>
      </c>
    </row>
    <row r="794" spans="1:18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2551</v>
      </c>
    </row>
    <row r="796" spans="1:18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2552</v>
      </c>
    </row>
    <row r="798" spans="1:18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3246</v>
      </c>
      <c r="O801" s="5"/>
      <c r="P801" s="5">
        <v>0</v>
      </c>
      <c r="Q801" s="5">
        <v>0</v>
      </c>
      <c r="R801" s="5" t="s">
        <v>737</v>
      </c>
    </row>
    <row r="802" spans="1:18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2557</v>
      </c>
    </row>
    <row r="803" spans="1:18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2558</v>
      </c>
    </row>
    <row r="804" spans="1:18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2559</v>
      </c>
    </row>
    <row r="805" spans="1:18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2561</v>
      </c>
    </row>
    <row r="807" spans="1:18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2564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2566</v>
      </c>
    </row>
    <row r="811" spans="1:18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2567</v>
      </c>
    </row>
    <row r="812" spans="1:18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2568</v>
      </c>
    </row>
    <row r="813" spans="1:18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2570</v>
      </c>
    </row>
    <row r="815" spans="1:18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2573</v>
      </c>
    </row>
    <row r="817" spans="1:19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2575</v>
      </c>
    </row>
    <row r="819" spans="1:19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2576</v>
      </c>
    </row>
    <row r="821" spans="1:19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2577</v>
      </c>
      <c r="S822" t="s">
        <v>263</v>
      </c>
    </row>
    <row r="823" spans="1:19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2578</v>
      </c>
    </row>
    <row r="825" spans="1:19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2579</v>
      </c>
    </row>
    <row r="827" spans="1:19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2580</v>
      </c>
    </row>
    <row r="829" spans="1:19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2581</v>
      </c>
    </row>
    <row r="831" spans="1:19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2582</v>
      </c>
    </row>
    <row r="833" spans="1:18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2583</v>
      </c>
    </row>
    <row r="835" spans="1:18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2585</v>
      </c>
    </row>
    <row r="839" spans="1:18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2586</v>
      </c>
    </row>
    <row r="840" spans="1:18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2588</v>
      </c>
    </row>
    <row r="842" spans="1:18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2590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2592</v>
      </c>
    </row>
    <row r="846" spans="1:18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2593</v>
      </c>
    </row>
    <row r="848" spans="1:18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2594</v>
      </c>
    </row>
    <row r="850" spans="1:18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2595</v>
      </c>
    </row>
    <row r="852" spans="1:18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2596</v>
      </c>
    </row>
    <row r="854" spans="1:18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2597</v>
      </c>
    </row>
    <row r="856" spans="1:18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2598</v>
      </c>
    </row>
    <row r="858" spans="1:18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2599</v>
      </c>
    </row>
    <row r="860" spans="1:18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2600</v>
      </c>
    </row>
    <row r="862" spans="1:18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2601</v>
      </c>
    </row>
    <row r="864" spans="1:18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2602</v>
      </c>
    </row>
    <row r="866" spans="1:18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2603</v>
      </c>
    </row>
    <row r="868" spans="1:18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2604</v>
      </c>
    </row>
    <row r="870" spans="1:18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2605</v>
      </c>
    </row>
    <row r="872" spans="1:18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2606</v>
      </c>
    </row>
    <row r="874" spans="1:18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2607</v>
      </c>
    </row>
    <row r="876" spans="1:18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2608</v>
      </c>
    </row>
    <row r="878" spans="1:18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3249</v>
      </c>
    </row>
    <row r="880" spans="1:18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2609</v>
      </c>
    </row>
    <row r="882" spans="1:18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2610</v>
      </c>
    </row>
    <row r="886" spans="1:18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2611</v>
      </c>
    </row>
    <row r="890" spans="1:18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2612</v>
      </c>
    </row>
    <row r="892" spans="1:18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2613</v>
      </c>
    </row>
    <row r="894" spans="1:18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2614</v>
      </c>
    </row>
    <row r="896" spans="1:18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2615</v>
      </c>
    </row>
    <row r="898" spans="1:18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2616</v>
      </c>
    </row>
    <row r="900" spans="1:18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2617</v>
      </c>
    </row>
    <row r="902" spans="1:18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2618</v>
      </c>
    </row>
    <row r="904" spans="1:18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2619</v>
      </c>
    </row>
    <row r="906" spans="1:18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2620</v>
      </c>
    </row>
    <row r="908" spans="1:18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2621</v>
      </c>
    </row>
    <row r="910" spans="1:18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2622</v>
      </c>
    </row>
    <row r="912" spans="1:18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2623</v>
      </c>
    </row>
    <row r="914" spans="1:19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2624</v>
      </c>
    </row>
    <row r="916" spans="1:19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2625</v>
      </c>
    </row>
    <row r="918" spans="1:19" x14ac:dyDescent="0.3">
      <c r="A918" s="5">
        <v>325</v>
      </c>
      <c r="B918" s="5" t="s">
        <v>2626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2627</v>
      </c>
    </row>
    <row r="923" spans="1:19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2628</v>
      </c>
    </row>
    <row r="925" spans="1:19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2629</v>
      </c>
    </row>
    <row r="927" spans="1:19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2630</v>
      </c>
    </row>
    <row r="935" spans="1:18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2631</v>
      </c>
    </row>
    <row r="937" spans="1:18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2632</v>
      </c>
    </row>
    <row r="939" spans="1:18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2633</v>
      </c>
    </row>
    <row r="949" spans="1:19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2634</v>
      </c>
    </row>
    <row r="951" spans="1:19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x14ac:dyDescent="0.3">
      <c r="A952" s="28">
        <v>338</v>
      </c>
      <c r="B952" s="5" t="s">
        <v>2636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2637</v>
      </c>
    </row>
    <row r="953" spans="1:19" x14ac:dyDescent="0.3">
      <c r="A953" s="26">
        <v>338</v>
      </c>
      <c r="B953" s="5" t="s">
        <v>2636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x14ac:dyDescent="0.3">
      <c r="A954" s="5">
        <v>338</v>
      </c>
      <c r="B954" s="5" t="s">
        <v>2636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2638</v>
      </c>
    </row>
    <row r="955" spans="1:19" x14ac:dyDescent="0.3">
      <c r="A955" s="5">
        <v>338</v>
      </c>
      <c r="B955" s="5" t="s">
        <v>2636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x14ac:dyDescent="0.3">
      <c r="A956" s="26">
        <v>338</v>
      </c>
      <c r="B956" s="5" t="s">
        <v>2636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2639</v>
      </c>
    </row>
    <row r="957" spans="1:19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x14ac:dyDescent="0.3">
      <c r="A958" s="26">
        <v>339</v>
      </c>
      <c r="B958" s="5" t="s">
        <v>2640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x14ac:dyDescent="0.3">
      <c r="A959" s="5">
        <v>339</v>
      </c>
      <c r="B959" s="5" t="s">
        <v>2640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x14ac:dyDescent="0.3">
      <c r="A960" s="26">
        <v>339</v>
      </c>
      <c r="B960" s="5" t="s">
        <v>2640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2642</v>
      </c>
    </row>
    <row r="962" spans="1:18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2645</v>
      </c>
    </row>
    <row r="964" spans="1:18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2647</v>
      </c>
    </row>
    <row r="966" spans="1:18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2648</v>
      </c>
    </row>
    <row r="968" spans="1:18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2649</v>
      </c>
    </row>
    <row r="970" spans="1:18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2650</v>
      </c>
    </row>
    <row r="972" spans="1:18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2651</v>
      </c>
    </row>
    <row r="974" spans="1:18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2652</v>
      </c>
    </row>
    <row r="976" spans="1:18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3246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3246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2654</v>
      </c>
    </row>
    <row r="982" spans="1:18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2657</v>
      </c>
    </row>
    <row r="984" spans="1:18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2660</v>
      </c>
    </row>
    <row r="986" spans="1:18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2662</v>
      </c>
    </row>
    <row r="988" spans="1:18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2663</v>
      </c>
    </row>
    <row r="989" spans="1:18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2664</v>
      </c>
    </row>
    <row r="990" spans="1:18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2666</v>
      </c>
    </row>
    <row r="992" spans="1:18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2669</v>
      </c>
    </row>
    <row r="994" spans="1:18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2672</v>
      </c>
    </row>
    <row r="998" spans="1:18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2675</v>
      </c>
    </row>
    <row r="1000" spans="1:18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2678</v>
      </c>
    </row>
    <row r="1002" spans="1:18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3250</v>
      </c>
    </row>
    <row r="1003" spans="1:18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2680</v>
      </c>
    </row>
    <row r="1004" spans="1:18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2683</v>
      </c>
    </row>
    <row r="1006" spans="1:18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2686</v>
      </c>
    </row>
    <row r="1008" spans="1:18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3251</v>
      </c>
    </row>
    <row r="1009" spans="1:18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2687</v>
      </c>
    </row>
    <row r="1010" spans="1:18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2688</v>
      </c>
    </row>
    <row r="1012" spans="1:18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2689</v>
      </c>
    </row>
    <row r="1014" spans="1:18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2690</v>
      </c>
    </row>
    <row r="1018" spans="1:18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2691</v>
      </c>
    </row>
    <row r="1020" spans="1:18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2693</v>
      </c>
    </row>
    <row r="1024" spans="1:18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2694</v>
      </c>
    </row>
    <row r="1026" spans="1:19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2695</v>
      </c>
    </row>
    <row r="1028" spans="1:19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2696</v>
      </c>
    </row>
    <row r="1030" spans="1:19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2697</v>
      </c>
    </row>
    <row r="1032" spans="1:19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2698</v>
      </c>
    </row>
    <row r="1034" spans="1:19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x14ac:dyDescent="0.3">
      <c r="A1035" s="5">
        <v>359</v>
      </c>
      <c r="B1035" s="5" t="s">
        <v>3252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3253</v>
      </c>
    </row>
    <row r="1036" spans="1:19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2699</v>
      </c>
    </row>
    <row r="1037" spans="1:19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2700</v>
      </c>
    </row>
    <row r="1039" spans="1:19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x14ac:dyDescent="0.3">
      <c r="A1040" s="5">
        <v>360</v>
      </c>
      <c r="B1040" s="5" t="s">
        <v>2701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2703</v>
      </c>
    </row>
    <row r="1041" spans="1:18" x14ac:dyDescent="0.3">
      <c r="A1041" s="5">
        <v>360</v>
      </c>
      <c r="B1041" s="5" t="s">
        <v>2701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2704</v>
      </c>
    </row>
    <row r="1042" spans="1:18" x14ac:dyDescent="0.3">
      <c r="A1042" s="5">
        <v>361</v>
      </c>
      <c r="B1042" s="5" t="s">
        <v>3254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x14ac:dyDescent="0.3">
      <c r="A1043" s="5">
        <v>361</v>
      </c>
      <c r="B1043" s="5" t="s">
        <v>3254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x14ac:dyDescent="0.3">
      <c r="A1045" s="5">
        <v>362</v>
      </c>
      <c r="B1045" s="5" t="s">
        <v>955</v>
      </c>
      <c r="C1045" s="5" t="s">
        <v>3255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2708</v>
      </c>
    </row>
    <row r="1047" spans="1:18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2709</v>
      </c>
    </row>
    <row r="1049" spans="1:18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x14ac:dyDescent="0.3">
      <c r="A1050" s="5">
        <v>363</v>
      </c>
      <c r="B1050" s="5" t="s">
        <v>960</v>
      </c>
      <c r="C1050" s="5" t="s">
        <v>3256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3257</v>
      </c>
    </row>
    <row r="1051" spans="1:18" x14ac:dyDescent="0.3">
      <c r="A1051" s="5">
        <v>363</v>
      </c>
      <c r="B1051" s="5" t="s">
        <v>960</v>
      </c>
      <c r="C1051" s="5" t="s">
        <v>3256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2710</v>
      </c>
    </row>
    <row r="1053" spans="1:18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2711</v>
      </c>
    </row>
    <row r="1055" spans="1:18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3246</v>
      </c>
      <c r="O1056" s="5" t="s">
        <v>128</v>
      </c>
      <c r="P1056" s="5">
        <v>0</v>
      </c>
      <c r="Q1056" s="5">
        <v>0</v>
      </c>
      <c r="R1056" s="5" t="s">
        <v>2712</v>
      </c>
    </row>
    <row r="1057" spans="1:18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3246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2713</v>
      </c>
    </row>
    <row r="1059" spans="1:18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2714</v>
      </c>
    </row>
    <row r="1061" spans="1:18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x14ac:dyDescent="0.3">
      <c r="A1062" s="5">
        <v>365</v>
      </c>
      <c r="B1062" s="5" t="s">
        <v>968</v>
      </c>
      <c r="C1062" s="5" t="s">
        <v>3255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x14ac:dyDescent="0.3">
      <c r="A1063" s="5">
        <v>366</v>
      </c>
      <c r="B1063" s="5" t="s">
        <v>970</v>
      </c>
      <c r="C1063" s="5" t="s">
        <v>3255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x14ac:dyDescent="0.3">
      <c r="A1066" s="5">
        <v>367</v>
      </c>
      <c r="B1066" s="5" t="s">
        <v>2715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x14ac:dyDescent="0.3">
      <c r="A1067" s="5">
        <v>367</v>
      </c>
      <c r="B1067" s="5" t="s">
        <v>2715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x14ac:dyDescent="0.3">
      <c r="A1068" s="21">
        <v>367</v>
      </c>
      <c r="B1068" s="20" t="s">
        <v>2715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2718</v>
      </c>
    </row>
    <row r="1071" spans="1:18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2721</v>
      </c>
    </row>
    <row r="1073" spans="1:18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2723</v>
      </c>
    </row>
    <row r="1075" spans="1:18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7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2724</v>
      </c>
    </row>
    <row r="1077" spans="1:18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2725</v>
      </c>
    </row>
    <row r="1079" spans="1:18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2726</v>
      </c>
    </row>
    <row r="1081" spans="1:18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2727</v>
      </c>
    </row>
    <row r="1083" spans="1:18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2728</v>
      </c>
    </row>
    <row r="1085" spans="1:18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2729</v>
      </c>
    </row>
    <row r="1087" spans="1:18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2732</v>
      </c>
    </row>
    <row r="1091" spans="1:18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2735</v>
      </c>
    </row>
    <row r="1093" spans="1:18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45016</v>
      </c>
      <c r="G1094" s="5">
        <v>2023</v>
      </c>
      <c r="H1094" s="5" t="s">
        <v>1516</v>
      </c>
      <c r="I1094" s="6" t="s">
        <v>1512</v>
      </c>
      <c r="J1094" s="5">
        <v>100</v>
      </c>
      <c r="K1094" s="5">
        <v>53.585833333335003</v>
      </c>
      <c r="L1094" s="14">
        <f t="shared" ref="L1094:L1101" si="82">IFERROR(IF(OR(J1094=0,K1094=""),"",IF(E1094="Positivo",MIN(MAX(K1094/J1094,0),1),MIN(MAX(J1094/K1094,0),1))),"")</f>
        <v>0.53585833333334998</v>
      </c>
      <c r="M1094" s="14">
        <f t="shared" si="81"/>
        <v>0.53585833333334998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2737</v>
      </c>
    </row>
    <row r="1095" spans="1:18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45107</v>
      </c>
      <c r="G1095" s="5">
        <v>2023</v>
      </c>
      <c r="H1095" s="5" t="s">
        <v>699</v>
      </c>
      <c r="I1095" s="6" t="s">
        <v>1512</v>
      </c>
      <c r="J1095" s="5">
        <v>100</v>
      </c>
      <c r="K1095" s="5">
        <v>53.585833333335003</v>
      </c>
      <c r="L1095" s="14">
        <f t="shared" si="82"/>
        <v>0.53585833333334998</v>
      </c>
      <c r="M1095" s="14">
        <f t="shared" si="81"/>
        <v>0.53585833333334998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2738</v>
      </c>
    </row>
    <row r="1096" spans="1:18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45199</v>
      </c>
      <c r="G1096" s="5">
        <v>2023</v>
      </c>
      <c r="H1096" s="5" t="s">
        <v>162</v>
      </c>
      <c r="I1096" s="6" t="s">
        <v>28</v>
      </c>
      <c r="J1096" s="5">
        <v>100</v>
      </c>
      <c r="K1096" s="5">
        <v>94.337500000000006</v>
      </c>
      <c r="L1096" s="14">
        <f t="shared" si="82"/>
        <v>0.94337500000000007</v>
      </c>
      <c r="M1096" s="14">
        <f t="shared" si="81"/>
        <v>0.94337500000000007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100</v>
      </c>
      <c r="K1097" s="5">
        <v>94.337500000000006</v>
      </c>
      <c r="L1097" s="14">
        <f t="shared" si="82"/>
        <v>0.94337500000000007</v>
      </c>
      <c r="M1097" s="14">
        <f t="shared" si="81"/>
        <v>0.94337500000000007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999</v>
      </c>
    </row>
    <row r="1098" spans="1:18" x14ac:dyDescent="0.3">
      <c r="A1098" s="5">
        <v>373</v>
      </c>
      <c r="B1098" s="5" t="s">
        <v>998</v>
      </c>
      <c r="C1098" s="5" t="s">
        <v>567</v>
      </c>
      <c r="D1098" s="5" t="s">
        <v>21</v>
      </c>
      <c r="E1098" s="5" t="s">
        <v>22</v>
      </c>
      <c r="F1098" s="71">
        <v>45473</v>
      </c>
      <c r="G1098" s="5">
        <v>2024</v>
      </c>
      <c r="H1098" s="5" t="s">
        <v>699</v>
      </c>
      <c r="I1098" s="6" t="s">
        <v>729</v>
      </c>
      <c r="J1098" s="5">
        <v>100</v>
      </c>
      <c r="K1098" s="5">
        <v>97.91</v>
      </c>
      <c r="L1098" s="14">
        <f t="shared" si="82"/>
        <v>0.97909999999999997</v>
      </c>
      <c r="M1098" s="14">
        <f t="shared" si="81"/>
        <v>0.97909999999999997</v>
      </c>
      <c r="N1098" s="5"/>
      <c r="O1098" s="5"/>
      <c r="P1098" s="5">
        <v>0</v>
      </c>
      <c r="Q1098" s="5">
        <v>0</v>
      </c>
      <c r="R1098" s="5" t="s">
        <v>2741</v>
      </c>
    </row>
    <row r="1099" spans="1:18" x14ac:dyDescent="0.3">
      <c r="A1099" s="5">
        <v>373</v>
      </c>
      <c r="B1099" s="5" t="s">
        <v>998</v>
      </c>
      <c r="C1099" s="5" t="s">
        <v>567</v>
      </c>
      <c r="D1099" s="5" t="s">
        <v>21</v>
      </c>
      <c r="E1099" s="5" t="s">
        <v>22</v>
      </c>
      <c r="F1099" s="71">
        <v>45657</v>
      </c>
      <c r="G1099" s="5">
        <v>2024</v>
      </c>
      <c r="H1099" s="5" t="s">
        <v>23</v>
      </c>
      <c r="I1099" s="6" t="s">
        <v>30</v>
      </c>
      <c r="J1099" s="5">
        <v>100</v>
      </c>
      <c r="K1099" s="5">
        <v>99.14</v>
      </c>
      <c r="L1099" s="14">
        <f t="shared" si="82"/>
        <v>0.99140000000000006</v>
      </c>
      <c r="M1099" s="14">
        <f t="shared" si="81"/>
        <v>0.99140000000000006</v>
      </c>
      <c r="N1099" s="5"/>
      <c r="O1099" s="5"/>
      <c r="P1099" s="5">
        <v>0</v>
      </c>
      <c r="Q1099" s="5">
        <v>0</v>
      </c>
      <c r="R1099" s="5" t="s">
        <v>1000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27</v>
      </c>
      <c r="E1100" s="5" t="s">
        <v>22</v>
      </c>
      <c r="F1100" s="71">
        <v>45838</v>
      </c>
      <c r="G1100" s="5">
        <v>2025</v>
      </c>
      <c r="H1100" s="5" t="s">
        <v>699</v>
      </c>
      <c r="I1100" s="6" t="s">
        <v>700</v>
      </c>
      <c r="J1100" s="5">
        <v>100</v>
      </c>
      <c r="K1100" s="5">
        <v>104.605</v>
      </c>
      <c r="L1100" s="14">
        <f t="shared" si="82"/>
        <v>1</v>
      </c>
      <c r="M1100" s="14">
        <f t="shared" si="81"/>
        <v>1.0460500000000001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2744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27</v>
      </c>
      <c r="E1101" s="5" t="s">
        <v>22</v>
      </c>
      <c r="F1101" s="71">
        <v>46022</v>
      </c>
      <c r="G1101" s="5">
        <v>2025</v>
      </c>
      <c r="H1101" s="5" t="s">
        <v>23</v>
      </c>
      <c r="I1101" s="6" t="s">
        <v>32</v>
      </c>
      <c r="J1101" s="5">
        <v>100</v>
      </c>
      <c r="K1101" s="5">
        <v>97.824999999999989</v>
      </c>
      <c r="L1101" s="14">
        <f t="shared" si="82"/>
        <v>0.97824999999999984</v>
      </c>
      <c r="M1101" s="14">
        <f t="shared" si="81"/>
        <v>0.97824999999999984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1001</v>
      </c>
    </row>
    <row r="1102" spans="1:18" x14ac:dyDescent="0.3">
      <c r="A1102" s="5">
        <v>374</v>
      </c>
      <c r="B1102" s="5" t="s">
        <v>1002</v>
      </c>
      <c r="C1102" s="5" t="s">
        <v>3256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ref="L1102:L1127" si="83">IFERROR(IF(OR(J1102=0,K1102=""),"",IF(E1102="Positivo",MIN(MAX(K1102/J1102,0),1.3),MIN(MAX(J1102/K1102,0),1.3))),"")</f>
        <v>1</v>
      </c>
      <c r="M1102" s="14">
        <f t="shared" si="81"/>
        <v>1</v>
      </c>
      <c r="N1102" s="5"/>
      <c r="O1102" s="5"/>
      <c r="P1102" s="5">
        <v>0</v>
      </c>
      <c r="Q1102" s="5">
        <v>0</v>
      </c>
      <c r="R1102" s="5" t="s">
        <v>1003</v>
      </c>
    </row>
    <row r="1103" spans="1:18" x14ac:dyDescent="0.3">
      <c r="A1103" s="5">
        <v>375</v>
      </c>
      <c r="B1103" s="5" t="s">
        <v>1004</v>
      </c>
      <c r="C1103" s="5" t="s">
        <v>956</v>
      </c>
      <c r="D1103" s="5" t="s">
        <v>21</v>
      </c>
      <c r="E1103" s="5" t="s">
        <v>22</v>
      </c>
      <c r="F1103" s="71">
        <v>45107</v>
      </c>
      <c r="G1103" s="5">
        <v>2023</v>
      </c>
      <c r="H1103" s="5" t="s">
        <v>699</v>
      </c>
      <c r="I1103" s="6" t="s">
        <v>1512</v>
      </c>
      <c r="J1103" s="5">
        <v>100</v>
      </c>
      <c r="K1103" s="5">
        <v>0</v>
      </c>
      <c r="L1103" s="14">
        <f t="shared" si="83"/>
        <v>0</v>
      </c>
      <c r="M1103" s="14">
        <f t="shared" si="81"/>
        <v>0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2747</v>
      </c>
    </row>
    <row r="1104" spans="1:18" x14ac:dyDescent="0.3">
      <c r="A1104" s="5">
        <v>375</v>
      </c>
      <c r="B1104" s="5" t="s">
        <v>1004</v>
      </c>
      <c r="C1104" s="5" t="s">
        <v>3255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1005</v>
      </c>
    </row>
    <row r="1105" spans="1:18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699</v>
      </c>
      <c r="I1105" s="6" t="s">
        <v>729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2748</v>
      </c>
    </row>
    <row r="1106" spans="1:18" x14ac:dyDescent="0.3">
      <c r="A1106" s="5">
        <v>375</v>
      </c>
      <c r="B1106" s="5" t="s">
        <v>1004</v>
      </c>
      <c r="C1106" s="5" t="s">
        <v>956</v>
      </c>
      <c r="D1106" s="5" t="s">
        <v>27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100</v>
      </c>
      <c r="K1106" s="5">
        <v>100</v>
      </c>
      <c r="L1106" s="14">
        <f t="shared" si="83"/>
        <v>1</v>
      </c>
      <c r="M1106" s="14">
        <f t="shared" si="81"/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1006</v>
      </c>
    </row>
    <row r="1107" spans="1:18" x14ac:dyDescent="0.3">
      <c r="A1107" s="5">
        <v>375</v>
      </c>
      <c r="B1107" s="5" t="s">
        <v>1004</v>
      </c>
      <c r="C1107" s="5" t="s">
        <v>956</v>
      </c>
      <c r="D1107" s="5" t="s">
        <v>27</v>
      </c>
      <c r="E1107" s="5" t="s">
        <v>22</v>
      </c>
      <c r="F1107" s="71">
        <v>45838</v>
      </c>
      <c r="G1107" s="5">
        <v>2025</v>
      </c>
      <c r="H1107" s="5" t="s">
        <v>699</v>
      </c>
      <c r="I1107" s="6" t="s">
        <v>700</v>
      </c>
      <c r="J1107" s="5">
        <v>100</v>
      </c>
      <c r="K1107" s="5">
        <v>100</v>
      </c>
      <c r="L1107" s="14">
        <f t="shared" si="83"/>
        <v>1</v>
      </c>
      <c r="M1107" s="14">
        <f t="shared" si="81"/>
        <v>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2749</v>
      </c>
    </row>
    <row r="1108" spans="1:18" x14ac:dyDescent="0.3">
      <c r="A1108" s="5">
        <v>375</v>
      </c>
      <c r="B1108" s="5" t="s">
        <v>1004</v>
      </c>
      <c r="C1108" s="5" t="s">
        <v>956</v>
      </c>
      <c r="D1108" s="5" t="s">
        <v>21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32</v>
      </c>
      <c r="J1108" s="5">
        <v>100</v>
      </c>
      <c r="K1108" s="5">
        <v>100</v>
      </c>
      <c r="L1108" s="14">
        <f t="shared" si="83"/>
        <v>1</v>
      </c>
      <c r="M1108" s="14">
        <f t="shared" ref="M1108:M1133" si="84">IFERROR(IF(OR(J1108=0,K1108=""),"",IF(E1108="Positivo",MAX(K1108/J1108,0),MAX(J1108/K1108,0))),"")</f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1007</v>
      </c>
    </row>
    <row r="1109" spans="1:18" x14ac:dyDescent="0.3">
      <c r="A1109" s="5">
        <v>376</v>
      </c>
      <c r="B1109" s="5" t="s">
        <v>2750</v>
      </c>
      <c r="C1109" s="5" t="s">
        <v>159</v>
      </c>
      <c r="D1109" s="5" t="s">
        <v>27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95</v>
      </c>
      <c r="K1109" s="5">
        <v>149.72237633949999</v>
      </c>
      <c r="L1109" s="14">
        <f t="shared" si="83"/>
        <v>1.3</v>
      </c>
      <c r="M1109" s="14">
        <f t="shared" si="84"/>
        <v>1.5760250140999998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2751</v>
      </c>
    </row>
    <row r="1110" spans="1:18" x14ac:dyDescent="0.3">
      <c r="A1110" s="5">
        <v>376</v>
      </c>
      <c r="B1110" s="5" t="s">
        <v>2750</v>
      </c>
      <c r="C1110" s="5" t="s">
        <v>159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95</v>
      </c>
      <c r="K1110" s="5">
        <v>101.26</v>
      </c>
      <c r="L1110" s="14">
        <f t="shared" si="83"/>
        <v>1.0658947368421052</v>
      </c>
      <c r="M1110" s="14">
        <f t="shared" si="84"/>
        <v>1.0658947368421052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1009</v>
      </c>
    </row>
    <row r="1111" spans="1:18" x14ac:dyDescent="0.3">
      <c r="A1111" s="5">
        <v>376</v>
      </c>
      <c r="B1111" s="5" t="s">
        <v>2750</v>
      </c>
      <c r="C1111" s="5" t="s">
        <v>159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95</v>
      </c>
      <c r="K1111" s="5">
        <v>104</v>
      </c>
      <c r="L1111" s="14">
        <f t="shared" si="83"/>
        <v>1.0947368421052632</v>
      </c>
      <c r="M1111" s="14">
        <f t="shared" si="84"/>
        <v>1.0947368421052632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2752</v>
      </c>
    </row>
    <row r="1112" spans="1:18" x14ac:dyDescent="0.3">
      <c r="A1112" s="5">
        <v>376</v>
      </c>
      <c r="B1112" s="5" t="s">
        <v>2750</v>
      </c>
      <c r="C1112" s="5" t="s">
        <v>159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95</v>
      </c>
      <c r="K1112" s="5">
        <v>109.1</v>
      </c>
      <c r="L1112" s="14">
        <f t="shared" si="83"/>
        <v>1.1484210526315788</v>
      </c>
      <c r="M1112" s="14">
        <f t="shared" si="84"/>
        <v>1.1484210526315788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1010</v>
      </c>
    </row>
    <row r="1113" spans="1:18" x14ac:dyDescent="0.3">
      <c r="A1113" s="5">
        <v>376</v>
      </c>
      <c r="B1113" s="5" t="s">
        <v>2750</v>
      </c>
      <c r="C1113" s="5" t="s">
        <v>159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95</v>
      </c>
      <c r="K1113" s="5">
        <v>117.87</v>
      </c>
      <c r="L1113" s="14">
        <f t="shared" si="83"/>
        <v>1.2407368421052631</v>
      </c>
      <c r="M1113" s="14">
        <f t="shared" si="84"/>
        <v>1.2407368421052631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2753</v>
      </c>
    </row>
    <row r="1114" spans="1:18" x14ac:dyDescent="0.3">
      <c r="A1114" s="5">
        <v>376</v>
      </c>
      <c r="B1114" s="5" t="s">
        <v>1008</v>
      </c>
      <c r="C1114" s="5" t="s">
        <v>159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95</v>
      </c>
      <c r="K1114" s="5">
        <v>117.51</v>
      </c>
      <c r="L1114" s="14">
        <f t="shared" si="83"/>
        <v>1.2369473684210528</v>
      </c>
      <c r="M1114" s="14">
        <f t="shared" si="84"/>
        <v>1.2369473684210528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1011</v>
      </c>
    </row>
    <row r="1115" spans="1:18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100</v>
      </c>
      <c r="K1115" s="5">
        <v>22.314798348501999</v>
      </c>
      <c r="L1115" s="14">
        <f t="shared" si="83"/>
        <v>1.3</v>
      </c>
      <c r="M1115" s="14">
        <f t="shared" si="84"/>
        <v>4.4813311076464668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2754</v>
      </c>
    </row>
    <row r="1116" spans="1:18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5">
        <v>60.77</v>
      </c>
      <c r="L1116" s="14">
        <f t="shared" si="83"/>
        <v>1.3</v>
      </c>
      <c r="M1116" s="14">
        <f t="shared" si="84"/>
        <v>1.6455487905216388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1013</v>
      </c>
    </row>
    <row r="1117" spans="1:18" x14ac:dyDescent="0.3">
      <c r="A1117" s="5">
        <v>377</v>
      </c>
      <c r="B1117" s="5" t="s">
        <v>1012</v>
      </c>
      <c r="C1117" s="5" t="s">
        <v>159</v>
      </c>
      <c r="D1117" s="5" t="s">
        <v>27</v>
      </c>
      <c r="E1117" s="5" t="s">
        <v>41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100</v>
      </c>
      <c r="K1117" s="10">
        <v>48.24</v>
      </c>
      <c r="L1117" s="14">
        <f t="shared" si="83"/>
        <v>1.3</v>
      </c>
      <c r="M1117" s="14">
        <f t="shared" si="84"/>
        <v>2.0729684908789388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2755</v>
      </c>
    </row>
    <row r="1118" spans="1:18" x14ac:dyDescent="0.3">
      <c r="A1118" s="5">
        <v>377</v>
      </c>
      <c r="B1118" s="5" t="s">
        <v>1012</v>
      </c>
      <c r="C1118" s="5" t="s">
        <v>159</v>
      </c>
      <c r="D1118" s="5" t="s">
        <v>27</v>
      </c>
      <c r="E1118" s="5" t="s">
        <v>41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100</v>
      </c>
      <c r="K1118" s="10">
        <v>125.01</v>
      </c>
      <c r="L1118" s="14">
        <f t="shared" si="83"/>
        <v>0.7999360051195904</v>
      </c>
      <c r="M1118" s="14">
        <f t="shared" si="84"/>
        <v>0.7999360051195904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1014</v>
      </c>
    </row>
    <row r="1119" spans="1:18" x14ac:dyDescent="0.3">
      <c r="A1119" s="26">
        <v>377</v>
      </c>
      <c r="B1119" s="5" t="s">
        <v>1012</v>
      </c>
      <c r="C1119" s="5" t="s">
        <v>159</v>
      </c>
      <c r="D1119" s="5" t="s">
        <v>71</v>
      </c>
      <c r="E1119" s="5" t="s">
        <v>22</v>
      </c>
      <c r="F1119" s="71">
        <v>46022</v>
      </c>
      <c r="G1119" s="15">
        <v>2025</v>
      </c>
      <c r="H1119" s="6" t="s">
        <v>23</v>
      </c>
      <c r="I1119" s="6" t="s">
        <v>32</v>
      </c>
      <c r="J1119" s="5">
        <v>100</v>
      </c>
      <c r="K1119" s="5">
        <v>107.11</v>
      </c>
      <c r="L1119" s="14">
        <f t="shared" si="83"/>
        <v>1.0710999999999999</v>
      </c>
      <c r="M1119" s="14">
        <f t="shared" si="84"/>
        <v>1.0710999999999999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1015</v>
      </c>
    </row>
    <row r="1120" spans="1:18" x14ac:dyDescent="0.3">
      <c r="A1120" s="26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45107</v>
      </c>
      <c r="G1120" s="15">
        <v>2023</v>
      </c>
      <c r="H1120" s="6" t="s">
        <v>699</v>
      </c>
      <c r="I1120" s="6" t="s">
        <v>1512</v>
      </c>
      <c r="J1120" s="5">
        <v>92</v>
      </c>
      <c r="K1120" s="5">
        <v>93.83</v>
      </c>
      <c r="L1120" s="14">
        <f t="shared" si="83"/>
        <v>1.0198913043478262</v>
      </c>
      <c r="M1120" s="14">
        <f t="shared" si="84"/>
        <v>1.0198913043478262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2761</v>
      </c>
    </row>
    <row r="1121" spans="1:18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45291</v>
      </c>
      <c r="G1121" s="15">
        <v>2023</v>
      </c>
      <c r="H1121" s="6" t="s">
        <v>23</v>
      </c>
      <c r="I1121" s="6" t="s">
        <v>28</v>
      </c>
      <c r="J1121" s="5">
        <v>92</v>
      </c>
      <c r="K1121" s="5">
        <v>97.3</v>
      </c>
      <c r="L1121" s="14">
        <f t="shared" si="83"/>
        <v>1.057608695652174</v>
      </c>
      <c r="M1121" s="14">
        <f t="shared" si="84"/>
        <v>1.057608695652174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1017</v>
      </c>
    </row>
    <row r="1122" spans="1:18" x14ac:dyDescent="0.3">
      <c r="A1122" s="5">
        <v>378</v>
      </c>
      <c r="B1122" s="5" t="s">
        <v>1016</v>
      </c>
      <c r="C1122" s="5" t="s">
        <v>53</v>
      </c>
      <c r="D1122" s="5" t="s">
        <v>54</v>
      </c>
      <c r="E1122" s="5" t="s">
        <v>22</v>
      </c>
      <c r="F1122" s="71">
        <v>45473</v>
      </c>
      <c r="G1122" s="15">
        <v>2024</v>
      </c>
      <c r="H1122" s="6" t="s">
        <v>699</v>
      </c>
      <c r="I1122" s="6" t="s">
        <v>729</v>
      </c>
      <c r="J1122" s="5">
        <v>92</v>
      </c>
      <c r="K1122" s="5">
        <v>98.5</v>
      </c>
      <c r="L1122" s="14">
        <f t="shared" si="83"/>
        <v>1.0706521739130435</v>
      </c>
      <c r="M1122" s="14">
        <f t="shared" si="84"/>
        <v>1.0706521739130435</v>
      </c>
      <c r="N1122" s="5"/>
      <c r="O1122" s="5"/>
      <c r="P1122" s="5">
        <v>0</v>
      </c>
      <c r="Q1122" s="5">
        <v>0</v>
      </c>
      <c r="R1122" s="5" t="s">
        <v>2772</v>
      </c>
    </row>
    <row r="1123" spans="1:18" x14ac:dyDescent="0.3">
      <c r="A1123" s="5">
        <v>378</v>
      </c>
      <c r="B1123" s="5" t="s">
        <v>1016</v>
      </c>
      <c r="C1123" s="5" t="s">
        <v>53</v>
      </c>
      <c r="D1123" s="5" t="s">
        <v>54</v>
      </c>
      <c r="E1123" s="5" t="s">
        <v>22</v>
      </c>
      <c r="F1123" s="71">
        <v>45657</v>
      </c>
      <c r="G1123" s="15">
        <v>2024</v>
      </c>
      <c r="H1123" s="6" t="s">
        <v>23</v>
      </c>
      <c r="I1123" s="6" t="s">
        <v>30</v>
      </c>
      <c r="J1123" s="5">
        <v>0</v>
      </c>
      <c r="K1123" s="5">
        <v>0</v>
      </c>
      <c r="L1123" s="14" t="str">
        <f t="shared" si="83"/>
        <v/>
      </c>
      <c r="M1123" s="14" t="str">
        <f t="shared" si="84"/>
        <v/>
      </c>
      <c r="N1123" s="5"/>
      <c r="O1123" s="5"/>
      <c r="P1123" s="5">
        <v>0</v>
      </c>
      <c r="Q1123" s="5">
        <v>0</v>
      </c>
      <c r="R1123" s="5" t="s">
        <v>1018</v>
      </c>
    </row>
    <row r="1124" spans="1:18" x14ac:dyDescent="0.3">
      <c r="A1124" s="5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1">
        <v>45107</v>
      </c>
      <c r="G1124" s="15">
        <v>2023</v>
      </c>
      <c r="H1124" s="6" t="s">
        <v>699</v>
      </c>
      <c r="I1124" s="6" t="s">
        <v>1512</v>
      </c>
      <c r="J1124" s="5">
        <v>24659.314309000001</v>
      </c>
      <c r="K1124" s="5">
        <v>25754.085545999998</v>
      </c>
      <c r="L1124" s="14">
        <f t="shared" si="83"/>
        <v>1.0443958507232471</v>
      </c>
      <c r="M1124" s="14">
        <f t="shared" si="84"/>
        <v>1.0443958507232471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2781</v>
      </c>
    </row>
    <row r="1125" spans="1:18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45291</v>
      </c>
      <c r="G1125" s="15">
        <v>2023</v>
      </c>
      <c r="H1125" s="6" t="s">
        <v>23</v>
      </c>
      <c r="I1125" s="6" t="s">
        <v>28</v>
      </c>
      <c r="J1125" s="5">
        <v>24724.802793999999</v>
      </c>
      <c r="K1125" s="10">
        <v>25340.546505999999</v>
      </c>
      <c r="L1125" s="14">
        <f t="shared" si="83"/>
        <v>1.0249038876924601</v>
      </c>
      <c r="M1125" s="14">
        <f t="shared" si="84"/>
        <v>1.0249038876924601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1025</v>
      </c>
    </row>
    <row r="1126" spans="1:18" x14ac:dyDescent="0.3">
      <c r="A1126" s="26">
        <v>380</v>
      </c>
      <c r="B1126" s="5" t="s">
        <v>1024</v>
      </c>
      <c r="C1126" s="5" t="s">
        <v>1020</v>
      </c>
      <c r="D1126" s="5" t="s">
        <v>27</v>
      </c>
      <c r="E1126" s="5" t="s">
        <v>22</v>
      </c>
      <c r="F1126" s="70">
        <v>45473</v>
      </c>
      <c r="G1126" s="15">
        <v>2024</v>
      </c>
      <c r="H1126" s="6" t="s">
        <v>699</v>
      </c>
      <c r="I1126" s="6" t="s">
        <v>729</v>
      </c>
      <c r="J1126" s="5">
        <v>29596.26987</v>
      </c>
      <c r="K1126" s="5">
        <v>28449.632913000001</v>
      </c>
      <c r="L1126" s="14">
        <f t="shared" si="83"/>
        <v>0.96125738270273453</v>
      </c>
      <c r="M1126" s="14">
        <f t="shared" si="84"/>
        <v>0.96125738270273453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2782</v>
      </c>
    </row>
    <row r="1127" spans="1:18" x14ac:dyDescent="0.3">
      <c r="A1127" s="5">
        <v>380</v>
      </c>
      <c r="B1127" s="5" t="s">
        <v>1024</v>
      </c>
      <c r="C1127" s="5" t="s">
        <v>1020</v>
      </c>
      <c r="D1127" s="5" t="s">
        <v>27</v>
      </c>
      <c r="E1127" s="5" t="s">
        <v>22</v>
      </c>
      <c r="F1127" s="71">
        <v>45657</v>
      </c>
      <c r="G1127" s="15">
        <v>2024</v>
      </c>
      <c r="H1127" s="6" t="s">
        <v>23</v>
      </c>
      <c r="I1127" s="6" t="s">
        <v>30</v>
      </c>
      <c r="J1127" s="5">
        <v>100</v>
      </c>
      <c r="K1127" s="5">
        <v>78.92</v>
      </c>
      <c r="L1127" s="14">
        <f t="shared" si="83"/>
        <v>0.78920000000000001</v>
      </c>
      <c r="M1127" s="14">
        <f t="shared" si="84"/>
        <v>0.78920000000000001</v>
      </c>
      <c r="N1127" s="5"/>
      <c r="O1127" s="5"/>
      <c r="P1127" s="5">
        <v>0</v>
      </c>
      <c r="Q1127" s="5">
        <v>0</v>
      </c>
      <c r="R1127" s="5" t="s">
        <v>1026</v>
      </c>
    </row>
    <row r="1128" spans="1:18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45107</v>
      </c>
      <c r="G1128" s="15">
        <v>2023</v>
      </c>
      <c r="H1128" s="6" t="s">
        <v>699</v>
      </c>
      <c r="I1128" s="6" t="s">
        <v>1512</v>
      </c>
      <c r="J1128" s="5">
        <v>100</v>
      </c>
      <c r="K1128" s="10">
        <v>104.27170868347</v>
      </c>
      <c r="L1128" s="14">
        <f t="shared" ref="L1128:L1159" si="85">IFERROR(IF(OR(J1128=0,K1128=""),"",IF(E1128="Positivo",MIN(MAX(K1128/J1128,0),1.3),MIN(MAX(J1128/K1128,0),1.3))),"")</f>
        <v>1.0427170868347</v>
      </c>
      <c r="M1128" s="14">
        <f t="shared" si="84"/>
        <v>1.0427170868347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2783</v>
      </c>
    </row>
    <row r="1129" spans="1:18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45291</v>
      </c>
      <c r="G1129" s="15">
        <v>2023</v>
      </c>
      <c r="H1129" s="6" t="s">
        <v>23</v>
      </c>
      <c r="I1129" s="6" t="s">
        <v>28</v>
      </c>
      <c r="J1129" s="5">
        <v>100</v>
      </c>
      <c r="K1129" s="15">
        <v>113.7</v>
      </c>
      <c r="L1129" s="14">
        <f t="shared" si="85"/>
        <v>1.137</v>
      </c>
      <c r="M1129" s="14">
        <f t="shared" si="84"/>
        <v>1.137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1028</v>
      </c>
    </row>
    <row r="1130" spans="1:18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45473</v>
      </c>
      <c r="G1130" s="15">
        <v>2024</v>
      </c>
      <c r="H1130" s="6" t="s">
        <v>699</v>
      </c>
      <c r="I1130" s="6" t="s">
        <v>729</v>
      </c>
      <c r="J1130" s="5">
        <v>100</v>
      </c>
      <c r="K1130" s="5">
        <v>105.26</v>
      </c>
      <c r="L1130" s="14">
        <f t="shared" si="85"/>
        <v>1.0526</v>
      </c>
      <c r="M1130" s="14">
        <f t="shared" si="84"/>
        <v>1.0526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2784</v>
      </c>
    </row>
    <row r="1131" spans="1:18" x14ac:dyDescent="0.3">
      <c r="A1131" s="5">
        <v>381</v>
      </c>
      <c r="B1131" s="5" t="s">
        <v>1027</v>
      </c>
      <c r="C1131" s="5" t="s">
        <v>1020</v>
      </c>
      <c r="D1131" s="5" t="s">
        <v>27</v>
      </c>
      <c r="E1131" s="5" t="s">
        <v>22</v>
      </c>
      <c r="F1131" s="71">
        <v>45657</v>
      </c>
      <c r="G1131" s="15">
        <v>2024</v>
      </c>
      <c r="H1131" s="6" t="s">
        <v>23</v>
      </c>
      <c r="I1131" s="6" t="s">
        <v>30</v>
      </c>
      <c r="J1131" s="5">
        <v>100</v>
      </c>
      <c r="K1131" s="5">
        <v>89.19</v>
      </c>
      <c r="L1131" s="14">
        <f t="shared" si="85"/>
        <v>0.89190000000000003</v>
      </c>
      <c r="M1131" s="14">
        <f t="shared" si="84"/>
        <v>0.89190000000000003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1029</v>
      </c>
    </row>
    <row r="1132" spans="1:18" x14ac:dyDescent="0.3">
      <c r="A1132" s="5">
        <v>381</v>
      </c>
      <c r="B1132" s="5" t="s">
        <v>1027</v>
      </c>
      <c r="C1132" s="5" t="s">
        <v>1020</v>
      </c>
      <c r="D1132" s="5" t="s">
        <v>27</v>
      </c>
      <c r="E1132" s="5" t="s">
        <v>22</v>
      </c>
      <c r="F1132" s="71">
        <v>45838</v>
      </c>
      <c r="G1132" s="15">
        <v>2025</v>
      </c>
      <c r="H1132" s="6" t="s">
        <v>699</v>
      </c>
      <c r="I1132" s="6" t="s">
        <v>700</v>
      </c>
      <c r="J1132" s="5">
        <v>100</v>
      </c>
      <c r="K1132" s="5">
        <v>98.22</v>
      </c>
      <c r="L1132" s="14">
        <f t="shared" si="85"/>
        <v>0.98219999999999996</v>
      </c>
      <c r="M1132" s="14">
        <f t="shared" si="84"/>
        <v>0.98219999999999996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2785</v>
      </c>
    </row>
    <row r="1133" spans="1:18" x14ac:dyDescent="0.3">
      <c r="A1133" s="5">
        <v>381</v>
      </c>
      <c r="B1133" s="5" t="s">
        <v>1027</v>
      </c>
      <c r="C1133" s="5" t="s">
        <v>1020</v>
      </c>
      <c r="D1133" s="5" t="s">
        <v>21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113.66</v>
      </c>
      <c r="L1133" s="14">
        <f t="shared" si="85"/>
        <v>1.1366000000000001</v>
      </c>
      <c r="M1133" s="14">
        <f t="shared" si="84"/>
        <v>1.1366000000000001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1030</v>
      </c>
    </row>
    <row r="1134" spans="1:18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1512</v>
      </c>
      <c r="J1134" s="5">
        <v>100</v>
      </c>
      <c r="K1134" s="5">
        <v>101.25041131950999</v>
      </c>
      <c r="L1134" s="14">
        <f t="shared" si="85"/>
        <v>1.0125041131951</v>
      </c>
      <c r="M1134" s="14">
        <f t="shared" ref="M1134:M1164" si="86">IFERROR(IF(OR(J1134=0,K1134=""),"",IF(E1134="Positivo",MAX(K1134/J1134,0),MAX(J1134/K1134,0))),"")</f>
        <v>1.0125041131951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2786</v>
      </c>
    </row>
    <row r="1135" spans="1:18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100</v>
      </c>
      <c r="K1135" s="5">
        <v>103.01</v>
      </c>
      <c r="L1135" s="14">
        <f t="shared" si="85"/>
        <v>1.0301</v>
      </c>
      <c r="M1135" s="14">
        <f t="shared" si="86"/>
        <v>1.0301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1032</v>
      </c>
    </row>
    <row r="1136" spans="1:18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45473</v>
      </c>
      <c r="G1136" s="15">
        <v>2024</v>
      </c>
      <c r="H1136" s="6" t="s">
        <v>699</v>
      </c>
      <c r="I1136" s="6" t="s">
        <v>729</v>
      </c>
      <c r="J1136" s="5">
        <v>100</v>
      </c>
      <c r="K1136" s="5">
        <v>93.7</v>
      </c>
      <c r="L1136" s="14">
        <f t="shared" si="85"/>
        <v>0.93700000000000006</v>
      </c>
      <c r="M1136" s="14">
        <f t="shared" si="86"/>
        <v>0.93700000000000006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2787</v>
      </c>
    </row>
    <row r="1137" spans="1:18" x14ac:dyDescent="0.3">
      <c r="A1137" s="5">
        <v>382</v>
      </c>
      <c r="B1137" s="5" t="s">
        <v>1031</v>
      </c>
      <c r="C1137" s="5" t="s">
        <v>1020</v>
      </c>
      <c r="D1137" s="5" t="s">
        <v>27</v>
      </c>
      <c r="E1137" s="5" t="s">
        <v>22</v>
      </c>
      <c r="F1137" s="71">
        <v>45657</v>
      </c>
      <c r="G1137" s="15">
        <v>2024</v>
      </c>
      <c r="H1137" s="6" t="s">
        <v>23</v>
      </c>
      <c r="I1137" s="6" t="s">
        <v>30</v>
      </c>
      <c r="J1137" s="5">
        <v>100</v>
      </c>
      <c r="K1137" s="5">
        <v>98.13</v>
      </c>
      <c r="L1137" s="14">
        <f t="shared" si="85"/>
        <v>0.98129999999999995</v>
      </c>
      <c r="M1137" s="14">
        <f t="shared" si="86"/>
        <v>0.98129999999999995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1033</v>
      </c>
    </row>
    <row r="1138" spans="1:18" x14ac:dyDescent="0.3">
      <c r="A1138" s="5">
        <v>382</v>
      </c>
      <c r="B1138" s="5" t="s">
        <v>1031</v>
      </c>
      <c r="C1138" s="5" t="s">
        <v>1020</v>
      </c>
      <c r="D1138" s="5" t="s">
        <v>27</v>
      </c>
      <c r="E1138" s="5" t="s">
        <v>22</v>
      </c>
      <c r="F1138" s="71">
        <v>45838</v>
      </c>
      <c r="G1138" s="5">
        <v>2025</v>
      </c>
      <c r="H1138" s="5" t="s">
        <v>699</v>
      </c>
      <c r="I1138" s="6" t="s">
        <v>700</v>
      </c>
      <c r="J1138" s="5">
        <v>100</v>
      </c>
      <c r="K1138" s="10">
        <v>99.85</v>
      </c>
      <c r="L1138" s="14">
        <f t="shared" si="85"/>
        <v>0.99849999999999994</v>
      </c>
      <c r="M1138" s="14">
        <f t="shared" si="86"/>
        <v>0.99849999999999994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2788</v>
      </c>
    </row>
    <row r="1139" spans="1:18" x14ac:dyDescent="0.3">
      <c r="A1139" s="5">
        <v>382</v>
      </c>
      <c r="B1139" s="5" t="s">
        <v>1031</v>
      </c>
      <c r="C1139" s="5" t="s">
        <v>1020</v>
      </c>
      <c r="D1139" s="5" t="s">
        <v>21</v>
      </c>
      <c r="E1139" s="5" t="s">
        <v>22</v>
      </c>
      <c r="F1139" s="71">
        <v>46022</v>
      </c>
      <c r="G1139" s="5">
        <v>2025</v>
      </c>
      <c r="H1139" s="5" t="s">
        <v>23</v>
      </c>
      <c r="I1139" s="6" t="s">
        <v>32</v>
      </c>
      <c r="J1139" s="5">
        <v>100</v>
      </c>
      <c r="K1139" s="5">
        <v>97.21</v>
      </c>
      <c r="L1139" s="14">
        <f t="shared" si="85"/>
        <v>0.97209999999999996</v>
      </c>
      <c r="M1139" s="14">
        <f t="shared" si="86"/>
        <v>0.97209999999999996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1034</v>
      </c>
    </row>
    <row r="1140" spans="1:18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5">
        <v>2023</v>
      </c>
      <c r="H1140" s="5" t="s">
        <v>699</v>
      </c>
      <c r="I1140" s="6" t="s">
        <v>1512</v>
      </c>
      <c r="J1140" s="5">
        <v>100</v>
      </c>
      <c r="K1140" s="5">
        <v>109.38232994527</v>
      </c>
      <c r="L1140" s="74">
        <f t="shared" si="85"/>
        <v>1.0938232994527</v>
      </c>
      <c r="M1140" s="14">
        <f t="shared" si="86"/>
        <v>1.0938232994527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2789</v>
      </c>
    </row>
    <row r="1141" spans="1:18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5">
        <v>2023</v>
      </c>
      <c r="H1141" s="5" t="s">
        <v>23</v>
      </c>
      <c r="I1141" s="6" t="s">
        <v>28</v>
      </c>
      <c r="J1141" s="5">
        <v>100</v>
      </c>
      <c r="K1141" s="10">
        <v>148.66</v>
      </c>
      <c r="L1141" s="14">
        <f t="shared" si="85"/>
        <v>1.3</v>
      </c>
      <c r="M1141" s="14">
        <f t="shared" si="86"/>
        <v>1.4865999999999999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1036</v>
      </c>
    </row>
    <row r="1142" spans="1:18" x14ac:dyDescent="0.3">
      <c r="A1142" s="5">
        <v>383</v>
      </c>
      <c r="B1142" s="5" t="s">
        <v>1035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5">
        <v>2024</v>
      </c>
      <c r="H1142" s="5" t="s">
        <v>699</v>
      </c>
      <c r="I1142" s="6" t="s">
        <v>729</v>
      </c>
      <c r="J1142" s="73">
        <v>100</v>
      </c>
      <c r="K1142" s="9">
        <v>100.2</v>
      </c>
      <c r="L1142" s="14">
        <f t="shared" si="85"/>
        <v>1.002</v>
      </c>
      <c r="M1142" s="14">
        <f t="shared" si="86"/>
        <v>1.002</v>
      </c>
      <c r="N1142" s="9" t="s">
        <v>128</v>
      </c>
      <c r="O1142" s="9" t="s">
        <v>128</v>
      </c>
      <c r="P1142" s="5">
        <v>0</v>
      </c>
      <c r="Q1142" s="5">
        <v>0</v>
      </c>
      <c r="R1142" s="5" t="s">
        <v>2790</v>
      </c>
    </row>
    <row r="1143" spans="1:18" x14ac:dyDescent="0.3">
      <c r="A1143" s="5">
        <v>383</v>
      </c>
      <c r="B1143" s="5" t="s">
        <v>1035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5">
        <v>2024</v>
      </c>
      <c r="H1143" s="5" t="s">
        <v>23</v>
      </c>
      <c r="I1143" s="6" t="s">
        <v>30</v>
      </c>
      <c r="J1143" s="5">
        <v>100</v>
      </c>
      <c r="K1143" s="5">
        <v>120.71</v>
      </c>
      <c r="L1143" s="14">
        <f t="shared" si="85"/>
        <v>1.2070999999999998</v>
      </c>
      <c r="M1143" s="14">
        <f t="shared" si="86"/>
        <v>1.2070999999999998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1037</v>
      </c>
    </row>
    <row r="1144" spans="1:18" x14ac:dyDescent="0.3">
      <c r="A1144" s="5">
        <v>383</v>
      </c>
      <c r="B1144" s="5" t="s">
        <v>1035</v>
      </c>
      <c r="C1144" s="5" t="s">
        <v>1020</v>
      </c>
      <c r="D1144" s="5" t="s">
        <v>21</v>
      </c>
      <c r="E1144" s="5" t="s">
        <v>22</v>
      </c>
      <c r="F1144" s="71">
        <v>45838</v>
      </c>
      <c r="G1144" s="5">
        <v>2025</v>
      </c>
      <c r="H1144" s="5" t="s">
        <v>699</v>
      </c>
      <c r="I1144" s="6" t="s">
        <v>700</v>
      </c>
      <c r="J1144" s="5">
        <v>100</v>
      </c>
      <c r="K1144" s="5">
        <v>136.96</v>
      </c>
      <c r="L1144" s="14">
        <f t="shared" si="85"/>
        <v>1.3</v>
      </c>
      <c r="M1144" s="14">
        <f t="shared" si="86"/>
        <v>1.3696000000000002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2791</v>
      </c>
    </row>
    <row r="1145" spans="1:18" x14ac:dyDescent="0.3">
      <c r="A1145" s="5">
        <v>383</v>
      </c>
      <c r="B1145" s="5" t="s">
        <v>1035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5">
        <v>2025</v>
      </c>
      <c r="H1145" s="5" t="s">
        <v>23</v>
      </c>
      <c r="I1145" s="6" t="s">
        <v>32</v>
      </c>
      <c r="J1145" s="5">
        <v>100</v>
      </c>
      <c r="K1145" s="5">
        <v>127.87</v>
      </c>
      <c r="L1145" s="14">
        <f t="shared" si="85"/>
        <v>1.2786999999999999</v>
      </c>
      <c r="M1145" s="14">
        <f t="shared" si="86"/>
        <v>1.2786999999999999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1038</v>
      </c>
    </row>
    <row r="1146" spans="1:18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5">
        <v>2023</v>
      </c>
      <c r="H1146" s="5" t="s">
        <v>699</v>
      </c>
      <c r="I1146" s="6" t="s">
        <v>1512</v>
      </c>
      <c r="J1146" s="5">
        <v>100</v>
      </c>
      <c r="K1146" s="5">
        <v>111.76470588235</v>
      </c>
      <c r="L1146" s="14">
        <f t="shared" si="85"/>
        <v>1.1176470588234999</v>
      </c>
      <c r="M1146" s="14">
        <f t="shared" si="86"/>
        <v>1.1176470588234999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2792</v>
      </c>
    </row>
    <row r="1147" spans="1:18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5">
        <v>2023</v>
      </c>
      <c r="H1147" s="5" t="s">
        <v>23</v>
      </c>
      <c r="I1147" s="6" t="s">
        <v>28</v>
      </c>
      <c r="J1147" s="5">
        <v>100</v>
      </c>
      <c r="K1147" s="5">
        <v>115.38</v>
      </c>
      <c r="L1147" s="14">
        <f t="shared" si="85"/>
        <v>1.1537999999999999</v>
      </c>
      <c r="M1147" s="14">
        <f t="shared" si="86"/>
        <v>1.1537999999999999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1040</v>
      </c>
    </row>
    <row r="1148" spans="1:18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5">
        <v>102.2</v>
      </c>
      <c r="L1148" s="14">
        <f t="shared" si="85"/>
        <v>1.022</v>
      </c>
      <c r="M1148" s="14">
        <f t="shared" si="86"/>
        <v>1.022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2793</v>
      </c>
    </row>
    <row r="1149" spans="1:18" x14ac:dyDescent="0.3">
      <c r="A1149" s="5">
        <v>384</v>
      </c>
      <c r="B1149" s="5" t="s">
        <v>1039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5">
        <v>2024</v>
      </c>
      <c r="H1149" s="5" t="s">
        <v>23</v>
      </c>
      <c r="I1149" s="6" t="s">
        <v>30</v>
      </c>
      <c r="J1149" s="5">
        <v>100</v>
      </c>
      <c r="K1149" s="5">
        <v>87.9</v>
      </c>
      <c r="L1149" s="14">
        <f t="shared" si="85"/>
        <v>0.879</v>
      </c>
      <c r="M1149" s="14">
        <f t="shared" si="86"/>
        <v>0.879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1041</v>
      </c>
    </row>
    <row r="1150" spans="1:18" x14ac:dyDescent="0.3">
      <c r="A1150" s="5">
        <v>384</v>
      </c>
      <c r="B1150" s="5" t="s">
        <v>1039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5">
        <v>103.23</v>
      </c>
      <c r="L1150" s="14">
        <f t="shared" si="85"/>
        <v>1.0323</v>
      </c>
      <c r="M1150" s="14">
        <f t="shared" si="86"/>
        <v>1.0323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2794</v>
      </c>
    </row>
    <row r="1151" spans="1:18" x14ac:dyDescent="0.3">
      <c r="A1151" s="5">
        <v>384</v>
      </c>
      <c r="B1151" s="5" t="s">
        <v>1039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10">
        <v>100.93</v>
      </c>
      <c r="L1151" s="14">
        <f t="shared" si="85"/>
        <v>1.0093000000000001</v>
      </c>
      <c r="M1151" s="14">
        <f t="shared" si="86"/>
        <v>1.0093000000000001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1042</v>
      </c>
    </row>
    <row r="1152" spans="1:18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102.98486566654</v>
      </c>
      <c r="L1152" s="14">
        <f t="shared" si="85"/>
        <v>1.0298486566653999</v>
      </c>
      <c r="M1152" s="14">
        <f t="shared" si="86"/>
        <v>1.0298486566653999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2795</v>
      </c>
    </row>
    <row r="1153" spans="1:18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76">
        <v>100</v>
      </c>
      <c r="K1153" s="10">
        <v>124.93</v>
      </c>
      <c r="L1153" s="14">
        <f t="shared" si="85"/>
        <v>1.2493000000000001</v>
      </c>
      <c r="M1153" s="14">
        <f t="shared" si="86"/>
        <v>1.2493000000000001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1045</v>
      </c>
    </row>
    <row r="1154" spans="1:18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5">
        <v>100</v>
      </c>
      <c r="K1154" s="9">
        <v>113.63</v>
      </c>
      <c r="L1154" s="14">
        <f t="shared" si="85"/>
        <v>1.1362999999999999</v>
      </c>
      <c r="M1154" s="14">
        <f t="shared" si="86"/>
        <v>1.1362999999999999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2796</v>
      </c>
    </row>
    <row r="1155" spans="1:18" x14ac:dyDescent="0.3">
      <c r="A1155" s="5">
        <v>385</v>
      </c>
      <c r="B1155" s="5" t="s">
        <v>1043</v>
      </c>
      <c r="C1155" s="5" t="s">
        <v>1044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10">
        <v>88.56</v>
      </c>
      <c r="L1155" s="14">
        <f t="shared" si="85"/>
        <v>0.88560000000000005</v>
      </c>
      <c r="M1155" s="14">
        <f t="shared" si="86"/>
        <v>0.88560000000000005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1046</v>
      </c>
    </row>
    <row r="1156" spans="1:18" x14ac:dyDescent="0.3">
      <c r="A1156" s="5">
        <v>385</v>
      </c>
      <c r="B1156" s="5" t="s">
        <v>1043</v>
      </c>
      <c r="C1156" s="5" t="s">
        <v>1044</v>
      </c>
      <c r="D1156" s="5" t="s">
        <v>27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11">
        <v>118.92</v>
      </c>
      <c r="L1156" s="14">
        <f t="shared" si="85"/>
        <v>1.1892</v>
      </c>
      <c r="M1156" s="14">
        <f t="shared" si="86"/>
        <v>1.1892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2797</v>
      </c>
    </row>
    <row r="1157" spans="1:18" x14ac:dyDescent="0.3">
      <c r="A1157" s="5">
        <v>385</v>
      </c>
      <c r="B1157" s="5" t="s">
        <v>1043</v>
      </c>
      <c r="C1157" s="5" t="s">
        <v>1044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108.89</v>
      </c>
      <c r="L1157" s="14">
        <f t="shared" si="85"/>
        <v>1.0889</v>
      </c>
      <c r="M1157" s="14">
        <f t="shared" si="86"/>
        <v>1.0889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1047</v>
      </c>
    </row>
    <row r="1158" spans="1:18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102.98486566654</v>
      </c>
      <c r="L1158" s="14">
        <f t="shared" si="85"/>
        <v>1.0298486566653999</v>
      </c>
      <c r="M1158" s="14">
        <f t="shared" si="86"/>
        <v>1.0298486566653999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2798</v>
      </c>
    </row>
    <row r="1159" spans="1:18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138.22</v>
      </c>
      <c r="L1159" s="14">
        <f t="shared" si="85"/>
        <v>1.3</v>
      </c>
      <c r="M1159" s="14">
        <f t="shared" si="86"/>
        <v>1.3822000000000001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1049</v>
      </c>
    </row>
    <row r="1160" spans="1:18" x14ac:dyDescent="0.3">
      <c r="A1160" s="5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113.63</v>
      </c>
      <c r="L1160" s="14">
        <f t="shared" ref="L1160:L1164" si="87">IFERROR(IF(OR(J1160=0,K1160=""),"",IF(E1160="Positivo",MIN(MAX(K1160/J1160,0),1.3),MIN(MAX(J1160/K1160,0),1.3))),"")</f>
        <v>1.1362999999999999</v>
      </c>
      <c r="M1160" s="14">
        <f t="shared" si="86"/>
        <v>1.1362999999999999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2799</v>
      </c>
    </row>
    <row r="1161" spans="1:18" x14ac:dyDescent="0.3">
      <c r="A1161" s="5">
        <v>386</v>
      </c>
      <c r="B1161" s="5" t="s">
        <v>1048</v>
      </c>
      <c r="C1161" s="5" t="s">
        <v>1044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75.010000000000005</v>
      </c>
      <c r="L1161" s="14">
        <f t="shared" si="87"/>
        <v>0.7501000000000001</v>
      </c>
      <c r="M1161" s="14">
        <f t="shared" si="86"/>
        <v>0.7501000000000001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1050</v>
      </c>
    </row>
    <row r="1162" spans="1:18" x14ac:dyDescent="0.3">
      <c r="A1162" s="26">
        <v>386</v>
      </c>
      <c r="B1162" s="5" t="s">
        <v>1048</v>
      </c>
      <c r="C1162" s="5" t="s">
        <v>1044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118.92</v>
      </c>
      <c r="L1162" s="14">
        <f t="shared" si="87"/>
        <v>1.1892</v>
      </c>
      <c r="M1162" s="14">
        <f t="shared" si="86"/>
        <v>1.1892</v>
      </c>
      <c r="N1162" s="5" t="s">
        <v>205</v>
      </c>
      <c r="O1162" s="5" t="s">
        <v>205</v>
      </c>
      <c r="P1162" s="5">
        <v>0</v>
      </c>
      <c r="Q1162" s="5">
        <v>0</v>
      </c>
      <c r="R1162" s="5" t="s">
        <v>2800</v>
      </c>
    </row>
    <row r="1163" spans="1:18" x14ac:dyDescent="0.3">
      <c r="A1163" s="5">
        <v>386</v>
      </c>
      <c r="B1163" s="5" t="s">
        <v>1048</v>
      </c>
      <c r="C1163" s="5" t="s">
        <v>1044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106.54</v>
      </c>
      <c r="L1163" s="14">
        <f t="shared" si="87"/>
        <v>1.0654000000000001</v>
      </c>
      <c r="M1163" s="14">
        <f t="shared" si="86"/>
        <v>1.0654000000000001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1051</v>
      </c>
    </row>
    <row r="1164" spans="1:18" x14ac:dyDescent="0.3">
      <c r="A1164" s="5">
        <v>387</v>
      </c>
      <c r="B1164" s="5" t="s">
        <v>1052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38</v>
      </c>
      <c r="K1164" s="5">
        <v>38</v>
      </c>
      <c r="L1164" s="14">
        <f t="shared" si="87"/>
        <v>1</v>
      </c>
      <c r="M1164" s="14">
        <f t="shared" si="86"/>
        <v>1</v>
      </c>
      <c r="N1164" s="5"/>
      <c r="O1164" s="5"/>
      <c r="P1164" s="5">
        <v>0</v>
      </c>
      <c r="Q1164" s="5">
        <v>0</v>
      </c>
      <c r="R1164" s="5" t="s">
        <v>2801</v>
      </c>
    </row>
    <row r="1165" spans="1:18" x14ac:dyDescent="0.3">
      <c r="A1165" s="5">
        <v>387</v>
      </c>
      <c r="B1165" s="5" t="s">
        <v>1052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/>
      <c r="K1165" s="10"/>
      <c r="L1165" s="14"/>
      <c r="M1165" s="14"/>
      <c r="N1165" s="5"/>
      <c r="O1165" s="5"/>
      <c r="P1165" s="5">
        <v>0</v>
      </c>
      <c r="Q1165" s="5">
        <v>0</v>
      </c>
      <c r="R1165" s="5" t="s">
        <v>1053</v>
      </c>
    </row>
    <row r="1166" spans="1:18" x14ac:dyDescent="0.3">
      <c r="A1166" s="5">
        <v>388</v>
      </c>
      <c r="B1166" s="5" t="s">
        <v>1054</v>
      </c>
      <c r="C1166" s="5" t="s">
        <v>549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77</v>
      </c>
      <c r="K1166" s="5">
        <v>77</v>
      </c>
      <c r="L1166" s="14">
        <f t="shared" ref="L1166:L1171" si="88">IFERROR(IF(OR(J1166=0,K1166=""),"",IF(E1166="Positivo",MIN(MAX(K1166/J1166,0),1.3),MIN(MAX(J1166/K1166,0),1.3))),"")</f>
        <v>1</v>
      </c>
      <c r="M1166" s="14">
        <f t="shared" ref="M1166:M1171" si="89">IFERROR(IF(OR(J1166=0,K1166=""),"",IF(E1166="Positivo",MAX(K1166/J1166,0),MAX(J1166/K1166,0))),"")</f>
        <v>1</v>
      </c>
      <c r="N1166" s="5"/>
      <c r="O1166" s="5"/>
      <c r="P1166" s="5">
        <v>0</v>
      </c>
      <c r="Q1166" s="5">
        <v>0</v>
      </c>
      <c r="R1166" s="5" t="s">
        <v>2802</v>
      </c>
    </row>
    <row r="1167" spans="1:18" x14ac:dyDescent="0.3">
      <c r="A1167" s="5">
        <v>388</v>
      </c>
      <c r="B1167" s="5" t="s">
        <v>1054</v>
      </c>
      <c r="C1167" s="5" t="s">
        <v>549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16</v>
      </c>
      <c r="K1167" s="5">
        <v>16</v>
      </c>
      <c r="L1167" s="14">
        <f t="shared" si="88"/>
        <v>1</v>
      </c>
      <c r="M1167" s="14">
        <f t="shared" si="89"/>
        <v>1</v>
      </c>
      <c r="N1167" s="5"/>
      <c r="O1167" s="5"/>
      <c r="P1167" s="5">
        <v>0</v>
      </c>
      <c r="Q1167" s="5">
        <v>0</v>
      </c>
      <c r="R1167" s="5" t="s">
        <v>1055</v>
      </c>
    </row>
    <row r="1168" spans="1:18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699</v>
      </c>
      <c r="I1168" s="6" t="s">
        <v>1512</v>
      </c>
      <c r="J1168" s="5">
        <v>91</v>
      </c>
      <c r="K1168" s="5">
        <v>0</v>
      </c>
      <c r="L1168" s="14">
        <f t="shared" si="88"/>
        <v>0</v>
      </c>
      <c r="M1168" s="14">
        <f t="shared" si="89"/>
        <v>0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2803</v>
      </c>
    </row>
    <row r="1169" spans="1:18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91</v>
      </c>
      <c r="K1169" s="5">
        <v>0</v>
      </c>
      <c r="L1169" s="14">
        <f t="shared" si="88"/>
        <v>0</v>
      </c>
      <c r="M1169" s="14">
        <f t="shared" si="89"/>
        <v>0</v>
      </c>
      <c r="N1169" s="5" t="s">
        <v>25</v>
      </c>
      <c r="O1169" s="5" t="s">
        <v>25</v>
      </c>
      <c r="P1169" s="5">
        <v>0</v>
      </c>
      <c r="Q1169" s="5">
        <v>0</v>
      </c>
      <c r="R1169" s="5" t="s">
        <v>1057</v>
      </c>
    </row>
    <row r="1170" spans="1:18" x14ac:dyDescent="0.3">
      <c r="A1170" s="5">
        <v>389</v>
      </c>
      <c r="B1170" s="5" t="s">
        <v>1056</v>
      </c>
      <c r="C1170" s="5" t="s">
        <v>536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699</v>
      </c>
      <c r="I1170" s="6" t="s">
        <v>729</v>
      </c>
      <c r="J1170" s="5">
        <v>85</v>
      </c>
      <c r="K1170" s="5">
        <v>84.433333333333323</v>
      </c>
      <c r="L1170" s="14">
        <f t="shared" si="88"/>
        <v>0.99333333333333318</v>
      </c>
      <c r="M1170" s="14">
        <f t="shared" si="89"/>
        <v>0.99333333333333318</v>
      </c>
      <c r="N1170" s="5"/>
      <c r="O1170" s="5"/>
      <c r="P1170" s="5">
        <v>0</v>
      </c>
      <c r="Q1170" s="5">
        <v>0</v>
      </c>
      <c r="R1170" s="5" t="s">
        <v>2804</v>
      </c>
    </row>
    <row r="1171" spans="1:18" x14ac:dyDescent="0.3">
      <c r="A1171" s="5">
        <v>389</v>
      </c>
      <c r="B1171" s="5" t="s">
        <v>1056</v>
      </c>
      <c r="C1171" s="5" t="s">
        <v>536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81">
        <v>85</v>
      </c>
      <c r="K1171" s="51">
        <v>0</v>
      </c>
      <c r="L1171" s="14">
        <f t="shared" si="88"/>
        <v>0</v>
      </c>
      <c r="M1171" s="14">
        <f t="shared" si="89"/>
        <v>0</v>
      </c>
      <c r="N1171" s="5"/>
      <c r="O1171" s="5"/>
      <c r="P1171" s="5">
        <v>0</v>
      </c>
      <c r="Q1171" s="5">
        <v>0</v>
      </c>
      <c r="R1171" s="5" t="s">
        <v>1058</v>
      </c>
    </row>
    <row r="1172" spans="1:18" x14ac:dyDescent="0.3">
      <c r="A1172" s="26">
        <v>389</v>
      </c>
      <c r="B1172" s="5" t="s">
        <v>1056</v>
      </c>
      <c r="C1172" s="5" t="s">
        <v>1059</v>
      </c>
      <c r="D1172" s="5" t="s">
        <v>21</v>
      </c>
      <c r="E1172" s="5" t="s">
        <v>22</v>
      </c>
      <c r="F1172" s="70">
        <v>45838</v>
      </c>
      <c r="G1172" s="5">
        <v>2025</v>
      </c>
      <c r="H1172" s="5" t="s">
        <v>699</v>
      </c>
      <c r="I1172" s="6" t="s">
        <v>700</v>
      </c>
      <c r="J1172" s="5"/>
      <c r="K1172" s="5">
        <v>0</v>
      </c>
      <c r="L1172" s="8"/>
      <c r="M1172" s="14"/>
      <c r="N1172" s="5" t="s">
        <v>25</v>
      </c>
      <c r="O1172" s="5" t="s">
        <v>25</v>
      </c>
      <c r="P1172" s="5">
        <v>0</v>
      </c>
      <c r="Q1172" s="5">
        <v>0</v>
      </c>
      <c r="R1172" s="5" t="s">
        <v>2805</v>
      </c>
    </row>
    <row r="1173" spans="1:18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45016</v>
      </c>
      <c r="G1173" s="5">
        <v>2023</v>
      </c>
      <c r="H1173" s="5" t="s">
        <v>1516</v>
      </c>
      <c r="I1173" s="6" t="s">
        <v>1512</v>
      </c>
      <c r="J1173" s="5">
        <v>100</v>
      </c>
      <c r="K1173" s="5">
        <v>0</v>
      </c>
      <c r="L1173" s="14">
        <f t="shared" ref="L1173:L1180" si="90">IFERROR(IF(OR(J1173=0,K1173=""),"",IF(E1173="Positivo",MIN(MAX(K1173/J1173,0),1),MIN(MAX(J1173/K1173,0),1))),"")</f>
        <v>0</v>
      </c>
      <c r="M1173" s="14">
        <f t="shared" ref="M1173:M1191" si="91">IFERROR(IF(OR(J1173=0,K1173=""),"",IF(E1173="Positivo",MAX(K1173/J1173,0),MAX(J1173/K1173,0))),"")</f>
        <v>0</v>
      </c>
      <c r="N1173" s="11"/>
      <c r="O1173" s="11"/>
      <c r="P1173" s="5">
        <v>0</v>
      </c>
      <c r="Q1173" s="5">
        <v>0</v>
      </c>
      <c r="R1173" s="5" t="s">
        <v>2806</v>
      </c>
    </row>
    <row r="1174" spans="1:18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45107</v>
      </c>
      <c r="G1174" s="5">
        <v>2023</v>
      </c>
      <c r="H1174" s="5" t="s">
        <v>699</v>
      </c>
      <c r="I1174" s="6" t="s">
        <v>1512</v>
      </c>
      <c r="J1174" s="5">
        <v>100</v>
      </c>
      <c r="K1174" s="5">
        <v>110.38416666667</v>
      </c>
      <c r="L1174" s="14">
        <f t="shared" si="90"/>
        <v>1</v>
      </c>
      <c r="M1174" s="14">
        <f t="shared" si="91"/>
        <v>1.1038416666666999</v>
      </c>
      <c r="N1174" s="5"/>
      <c r="O1174" s="5"/>
      <c r="P1174" s="5">
        <v>0</v>
      </c>
      <c r="Q1174" s="5">
        <v>0</v>
      </c>
      <c r="R1174" s="5" t="s">
        <v>2807</v>
      </c>
    </row>
    <row r="1175" spans="1:18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45199</v>
      </c>
      <c r="G1175" s="5">
        <v>2023</v>
      </c>
      <c r="H1175" s="5" t="s">
        <v>162</v>
      </c>
      <c r="I1175" s="6" t="s">
        <v>28</v>
      </c>
      <c r="J1175" s="5">
        <v>100</v>
      </c>
      <c r="K1175" s="5">
        <v>95.344166666666993</v>
      </c>
      <c r="L1175" s="14">
        <f t="shared" si="90"/>
        <v>0.95344166666666996</v>
      </c>
      <c r="M1175" s="14">
        <f t="shared" si="91"/>
        <v>0.95344166666666996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45291</v>
      </c>
      <c r="G1176" s="5">
        <v>2023</v>
      </c>
      <c r="H1176" s="5" t="s">
        <v>23</v>
      </c>
      <c r="I1176" s="6" t="s">
        <v>28</v>
      </c>
      <c r="J1176" s="5">
        <v>100</v>
      </c>
      <c r="K1176" s="10">
        <v>99.249166666666994</v>
      </c>
      <c r="L1176" s="14">
        <f t="shared" si="90"/>
        <v>0.99249166666666999</v>
      </c>
      <c r="M1176" s="14">
        <f t="shared" si="91"/>
        <v>0.99249166666666999</v>
      </c>
      <c r="N1176" s="5"/>
      <c r="O1176" s="5"/>
      <c r="P1176" s="5">
        <v>0</v>
      </c>
      <c r="Q1176" s="5">
        <v>0</v>
      </c>
      <c r="R1176" s="5" t="s">
        <v>1062</v>
      </c>
    </row>
    <row r="1177" spans="1:18" x14ac:dyDescent="0.3">
      <c r="A1177" s="5">
        <v>390</v>
      </c>
      <c r="B1177" s="5" t="s">
        <v>1061</v>
      </c>
      <c r="C1177" s="5" t="s">
        <v>567</v>
      </c>
      <c r="D1177" s="5" t="s">
        <v>21</v>
      </c>
      <c r="E1177" s="5" t="s">
        <v>22</v>
      </c>
      <c r="F1177" s="71">
        <v>45473</v>
      </c>
      <c r="G1177" s="5">
        <v>2024</v>
      </c>
      <c r="H1177" s="5" t="s">
        <v>699</v>
      </c>
      <c r="I1177" s="6" t="s">
        <v>729</v>
      </c>
      <c r="J1177" s="5">
        <v>100</v>
      </c>
      <c r="K1177" s="5">
        <v>110.59</v>
      </c>
      <c r="L1177" s="14">
        <f t="shared" si="90"/>
        <v>1</v>
      </c>
      <c r="M1177" s="14">
        <f t="shared" si="91"/>
        <v>1.1059000000000001</v>
      </c>
      <c r="N1177" s="5"/>
      <c r="O1177" s="5"/>
      <c r="P1177" s="5">
        <v>0</v>
      </c>
      <c r="Q1177" s="5">
        <v>0</v>
      </c>
      <c r="R1177" s="5" t="s">
        <v>2810</v>
      </c>
    </row>
    <row r="1178" spans="1:18" x14ac:dyDescent="0.3">
      <c r="A1178" s="5">
        <v>390</v>
      </c>
      <c r="B1178" s="5" t="s">
        <v>1061</v>
      </c>
      <c r="C1178" s="5" t="s">
        <v>567</v>
      </c>
      <c r="D1178" s="5" t="s">
        <v>21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5">
        <v>100</v>
      </c>
      <c r="K1178" s="5">
        <v>99.92</v>
      </c>
      <c r="L1178" s="14">
        <f t="shared" si="90"/>
        <v>0.99919999999999998</v>
      </c>
      <c r="M1178" s="14">
        <f t="shared" si="91"/>
        <v>0.99919999999999998</v>
      </c>
      <c r="N1178" s="5"/>
      <c r="O1178" s="5"/>
      <c r="P1178" s="5">
        <v>0</v>
      </c>
      <c r="Q1178" s="5">
        <v>0</v>
      </c>
      <c r="R1178" s="5" t="s">
        <v>1063</v>
      </c>
    </row>
    <row r="1179" spans="1:18" x14ac:dyDescent="0.3">
      <c r="A1179" s="5">
        <v>390</v>
      </c>
      <c r="B1179" s="5" t="s">
        <v>1061</v>
      </c>
      <c r="C1179" s="5" t="s">
        <v>567</v>
      </c>
      <c r="D1179" s="5" t="s">
        <v>27</v>
      </c>
      <c r="E1179" s="5" t="s">
        <v>22</v>
      </c>
      <c r="F1179" s="71">
        <v>45838</v>
      </c>
      <c r="G1179" s="5">
        <v>2025</v>
      </c>
      <c r="H1179" s="5" t="s">
        <v>699</v>
      </c>
      <c r="I1179" s="6" t="s">
        <v>700</v>
      </c>
      <c r="J1179" s="5">
        <v>100</v>
      </c>
      <c r="K1179" s="5">
        <v>103.55</v>
      </c>
      <c r="L1179" s="14">
        <f t="shared" si="90"/>
        <v>1</v>
      </c>
      <c r="M1179" s="14">
        <f t="shared" si="91"/>
        <v>1.0354999999999999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x14ac:dyDescent="0.3">
      <c r="A1180" s="5">
        <v>390</v>
      </c>
      <c r="B1180" s="5" t="s">
        <v>1061</v>
      </c>
      <c r="C1180" s="5" t="s">
        <v>567</v>
      </c>
      <c r="D1180" s="5" t="s">
        <v>27</v>
      </c>
      <c r="E1180" s="5" t="s">
        <v>22</v>
      </c>
      <c r="F1180" s="71">
        <v>46022</v>
      </c>
      <c r="G1180" s="5">
        <v>2025</v>
      </c>
      <c r="H1180" s="5" t="s">
        <v>23</v>
      </c>
      <c r="I1180" s="6" t="s">
        <v>32</v>
      </c>
      <c r="J1180" s="5">
        <v>100</v>
      </c>
      <c r="K1180" s="5">
        <v>99.78</v>
      </c>
      <c r="L1180" s="14">
        <f t="shared" si="90"/>
        <v>0.99780000000000002</v>
      </c>
      <c r="M1180" s="14">
        <f t="shared" si="91"/>
        <v>0.99780000000000002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1064</v>
      </c>
    </row>
    <row r="1181" spans="1:18" x14ac:dyDescent="0.3">
      <c r="A1181" s="5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45107</v>
      </c>
      <c r="G1181" s="5">
        <v>2023</v>
      </c>
      <c r="H1181" s="5" t="s">
        <v>699</v>
      </c>
      <c r="I1181" s="6" t="s">
        <v>1512</v>
      </c>
      <c r="J1181" s="5">
        <v>100</v>
      </c>
      <c r="K1181" s="10">
        <v>100</v>
      </c>
      <c r="L1181" s="14">
        <f t="shared" ref="L1181:L1191" si="92">IFERROR(IF(OR(J1181=0,K1181=""),"",IF(E1181="Positivo",MIN(MAX(K1181/J1181,0),1.3),MIN(MAX(J1181/K1181,0),1.3))),"")</f>
        <v>1</v>
      </c>
      <c r="M1181" s="14">
        <f t="shared" si="91"/>
        <v>1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2815</v>
      </c>
    </row>
    <row r="1182" spans="1:18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45291</v>
      </c>
      <c r="G1182" s="5">
        <v>2023</v>
      </c>
      <c r="H1182" s="5" t="s">
        <v>23</v>
      </c>
      <c r="I1182" s="6" t="s">
        <v>28</v>
      </c>
      <c r="J1182" s="5">
        <v>100</v>
      </c>
      <c r="K1182" s="5">
        <v>100</v>
      </c>
      <c r="L1182" s="14">
        <f t="shared" si="92"/>
        <v>1</v>
      </c>
      <c r="M1182" s="14">
        <f t="shared" si="91"/>
        <v>1</v>
      </c>
      <c r="N1182" s="5" t="s">
        <v>25</v>
      </c>
      <c r="O1182" s="5" t="s">
        <v>25</v>
      </c>
      <c r="P1182" s="5">
        <v>0</v>
      </c>
      <c r="Q1182" s="5">
        <v>0</v>
      </c>
      <c r="R1182" s="5" t="s">
        <v>1067</v>
      </c>
    </row>
    <row r="1183" spans="1:18" x14ac:dyDescent="0.3">
      <c r="A1183" s="28">
        <v>391</v>
      </c>
      <c r="B1183" s="5" t="s">
        <v>1065</v>
      </c>
      <c r="C1183" s="5" t="s">
        <v>1066</v>
      </c>
      <c r="D1183" s="5" t="s">
        <v>27</v>
      </c>
      <c r="E1183" s="5" t="s">
        <v>22</v>
      </c>
      <c r="F1183" s="71">
        <v>45473</v>
      </c>
      <c r="G1183" s="5">
        <v>2024</v>
      </c>
      <c r="H1183" s="5" t="s">
        <v>699</v>
      </c>
      <c r="I1183" s="6" t="s">
        <v>729</v>
      </c>
      <c r="J1183" s="5">
        <v>96</v>
      </c>
      <c r="K1183" s="5">
        <v>100</v>
      </c>
      <c r="L1183" s="74">
        <f t="shared" si="92"/>
        <v>1.0416666666666667</v>
      </c>
      <c r="M1183" s="14">
        <f t="shared" si="91"/>
        <v>1.0416666666666667</v>
      </c>
      <c r="N1183" s="5"/>
      <c r="O1183" s="5"/>
      <c r="P1183" s="5">
        <v>0</v>
      </c>
      <c r="Q1183" s="5">
        <v>0</v>
      </c>
      <c r="R1183" s="5" t="s">
        <v>2816</v>
      </c>
    </row>
    <row r="1184" spans="1:18" x14ac:dyDescent="0.3">
      <c r="A1184" s="5">
        <v>391</v>
      </c>
      <c r="B1184" s="5" t="s">
        <v>1065</v>
      </c>
      <c r="C1184" s="5" t="s">
        <v>1066</v>
      </c>
      <c r="D1184" s="5" t="s">
        <v>27</v>
      </c>
      <c r="E1184" s="5" t="s">
        <v>22</v>
      </c>
      <c r="F1184" s="71">
        <v>45657</v>
      </c>
      <c r="G1184" s="5">
        <v>2024</v>
      </c>
      <c r="H1184" s="5" t="s">
        <v>23</v>
      </c>
      <c r="I1184" s="6" t="s">
        <v>30</v>
      </c>
      <c r="J1184" s="73">
        <v>96</v>
      </c>
      <c r="K1184" s="9">
        <v>100</v>
      </c>
      <c r="L1184" s="14">
        <f t="shared" si="92"/>
        <v>1.0416666666666667</v>
      </c>
      <c r="M1184" s="14">
        <f t="shared" si="91"/>
        <v>1.0416666666666667</v>
      </c>
      <c r="N1184" s="5"/>
      <c r="O1184" s="5"/>
      <c r="P1184" s="5">
        <v>0</v>
      </c>
      <c r="Q1184" s="5">
        <v>0</v>
      </c>
      <c r="R1184" s="5" t="s">
        <v>1068</v>
      </c>
    </row>
    <row r="1185" spans="1:18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699</v>
      </c>
      <c r="I1185" s="6" t="s">
        <v>1512</v>
      </c>
      <c r="J1185" s="5">
        <v>100</v>
      </c>
      <c r="K1185" s="5">
        <v>110.09198322581</v>
      </c>
      <c r="L1185" s="14">
        <f t="shared" si="92"/>
        <v>1.1009198322581</v>
      </c>
      <c r="M1185" s="14">
        <f t="shared" si="91"/>
        <v>1.1009198322581</v>
      </c>
      <c r="N1185" s="5"/>
      <c r="O1185" s="5"/>
      <c r="P1185" s="5">
        <v>0</v>
      </c>
      <c r="Q1185" s="5">
        <v>0</v>
      </c>
      <c r="R1185" s="5" t="s">
        <v>2817</v>
      </c>
    </row>
    <row r="1186" spans="1:18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>
        <v>100</v>
      </c>
      <c r="K1186" s="5">
        <v>147.38</v>
      </c>
      <c r="L1186" s="14">
        <f t="shared" si="92"/>
        <v>1.3</v>
      </c>
      <c r="M1186" s="14">
        <f t="shared" si="91"/>
        <v>1.4738</v>
      </c>
      <c r="N1186" s="5"/>
      <c r="O1186" s="5"/>
      <c r="P1186" s="5">
        <v>0</v>
      </c>
      <c r="Q1186" s="5">
        <v>0</v>
      </c>
      <c r="R1186" s="5" t="s">
        <v>1070</v>
      </c>
    </row>
    <row r="1187" spans="1:18" x14ac:dyDescent="0.3">
      <c r="A1187" s="5">
        <v>392</v>
      </c>
      <c r="B1187" s="5" t="s">
        <v>1069</v>
      </c>
      <c r="C1187" s="5" t="s">
        <v>1066</v>
      </c>
      <c r="D1187" s="5" t="s">
        <v>27</v>
      </c>
      <c r="E1187" s="5" t="s">
        <v>22</v>
      </c>
      <c r="F1187" s="71">
        <v>45473</v>
      </c>
      <c r="G1187" s="5">
        <v>2024</v>
      </c>
      <c r="H1187" s="5" t="s">
        <v>699</v>
      </c>
      <c r="I1187" s="6" t="s">
        <v>729</v>
      </c>
      <c r="J1187" s="5">
        <v>100</v>
      </c>
      <c r="K1187" s="5">
        <v>98.11</v>
      </c>
      <c r="L1187" s="14">
        <f t="shared" si="92"/>
        <v>0.98109999999999997</v>
      </c>
      <c r="M1187" s="14">
        <f t="shared" si="91"/>
        <v>0.98109999999999997</v>
      </c>
      <c r="N1187" s="5"/>
      <c r="O1187" s="5"/>
      <c r="P1187" s="5">
        <v>0</v>
      </c>
      <c r="Q1187" s="5">
        <v>0</v>
      </c>
      <c r="R1187" s="5" t="s">
        <v>2818</v>
      </c>
    </row>
    <row r="1188" spans="1:18" x14ac:dyDescent="0.3">
      <c r="A1188" s="5">
        <v>392</v>
      </c>
      <c r="B1188" s="5" t="s">
        <v>1069</v>
      </c>
      <c r="C1188" s="5" t="s">
        <v>1066</v>
      </c>
      <c r="D1188" s="5" t="s">
        <v>27</v>
      </c>
      <c r="E1188" s="5" t="s">
        <v>22</v>
      </c>
      <c r="F1188" s="71">
        <v>45657</v>
      </c>
      <c r="G1188" s="5">
        <v>2024</v>
      </c>
      <c r="H1188" s="5" t="s">
        <v>23</v>
      </c>
      <c r="I1188" s="6" t="s">
        <v>30</v>
      </c>
      <c r="J1188" s="5">
        <v>100</v>
      </c>
      <c r="K1188" s="5">
        <v>145.21</v>
      </c>
      <c r="L1188" s="14">
        <f t="shared" si="92"/>
        <v>1.3</v>
      </c>
      <c r="M1188" s="14">
        <f t="shared" si="91"/>
        <v>1.4521000000000002</v>
      </c>
      <c r="N1188" s="5"/>
      <c r="O1188" s="5"/>
      <c r="P1188" s="5">
        <v>0</v>
      </c>
      <c r="Q1188" s="5">
        <v>0</v>
      </c>
      <c r="R1188" s="5" t="s">
        <v>1071</v>
      </c>
    </row>
    <row r="1189" spans="1:18" x14ac:dyDescent="0.3">
      <c r="A1189" s="5">
        <v>392</v>
      </c>
      <c r="B1189" s="5" t="s">
        <v>1069</v>
      </c>
      <c r="C1189" s="5" t="s">
        <v>1066</v>
      </c>
      <c r="D1189" s="5" t="s">
        <v>71</v>
      </c>
      <c r="E1189" s="5" t="s">
        <v>22</v>
      </c>
      <c r="F1189" s="71">
        <v>46022</v>
      </c>
      <c r="G1189" s="5">
        <v>2025</v>
      </c>
      <c r="H1189" s="5" t="s">
        <v>23</v>
      </c>
      <c r="I1189" s="6" t="s">
        <v>32</v>
      </c>
      <c r="J1189" s="5">
        <v>100</v>
      </c>
      <c r="K1189" s="5">
        <v>100.8</v>
      </c>
      <c r="L1189" s="14">
        <f t="shared" si="92"/>
        <v>1.008</v>
      </c>
      <c r="M1189" s="14">
        <f t="shared" si="91"/>
        <v>1.008</v>
      </c>
      <c r="N1189" s="5" t="s">
        <v>205</v>
      </c>
      <c r="O1189" s="5" t="s">
        <v>205</v>
      </c>
      <c r="P1189" s="5">
        <v>0</v>
      </c>
      <c r="Q1189" s="5">
        <v>0</v>
      </c>
      <c r="R1189" s="5" t="s">
        <v>1072</v>
      </c>
    </row>
    <row r="1190" spans="1:18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15</v>
      </c>
      <c r="K1190" s="5">
        <v>15.45</v>
      </c>
      <c r="L1190" s="14">
        <f t="shared" si="92"/>
        <v>1.03</v>
      </c>
      <c r="M1190" s="14">
        <f t="shared" si="91"/>
        <v>1.03</v>
      </c>
      <c r="N1190" s="5"/>
      <c r="O1190" s="5"/>
      <c r="P1190" s="5">
        <v>1</v>
      </c>
      <c r="Q1190" s="5">
        <v>1</v>
      </c>
      <c r="R1190" s="5" t="s">
        <v>1074</v>
      </c>
    </row>
    <row r="1191" spans="1:18" x14ac:dyDescent="0.3">
      <c r="A1191" s="5">
        <v>393</v>
      </c>
      <c r="B1191" s="5" t="s">
        <v>1073</v>
      </c>
      <c r="C1191" s="5" t="s">
        <v>1066</v>
      </c>
      <c r="D1191" s="5" t="s">
        <v>71</v>
      </c>
      <c r="E1191" s="5" t="s">
        <v>41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15</v>
      </c>
      <c r="K1191" s="5">
        <v>13</v>
      </c>
      <c r="L1191" s="14">
        <f t="shared" si="92"/>
        <v>1.1538461538461537</v>
      </c>
      <c r="M1191" s="14">
        <f t="shared" si="91"/>
        <v>1.1538461538461537</v>
      </c>
      <c r="N1191" s="5"/>
      <c r="O1191" s="5"/>
      <c r="P1191" s="5">
        <v>0</v>
      </c>
      <c r="Q1191" s="5">
        <v>0</v>
      </c>
      <c r="R1191" s="5" t="s">
        <v>1075</v>
      </c>
    </row>
    <row r="1192" spans="1:18" x14ac:dyDescent="0.3">
      <c r="A1192" s="5">
        <v>393</v>
      </c>
      <c r="B1192" s="5" t="s">
        <v>1073</v>
      </c>
      <c r="C1192" s="5" t="s">
        <v>1066</v>
      </c>
      <c r="D1192" s="5" t="s">
        <v>71</v>
      </c>
      <c r="E1192" s="5" t="s">
        <v>41</v>
      </c>
      <c r="F1192" s="71">
        <v>46022</v>
      </c>
      <c r="G1192" s="5">
        <v>2025</v>
      </c>
      <c r="H1192" s="5" t="s">
        <v>23</v>
      </c>
      <c r="I1192" s="6" t="s">
        <v>32</v>
      </c>
      <c r="J1192" s="5"/>
      <c r="K1192" s="5">
        <v>12</v>
      </c>
      <c r="L1192" s="14"/>
      <c r="M1192" s="14"/>
      <c r="N1192" s="5" t="s">
        <v>128</v>
      </c>
      <c r="O1192" s="5" t="s">
        <v>136</v>
      </c>
      <c r="P1192" s="5">
        <v>1</v>
      </c>
      <c r="Q1192" s="5">
        <v>1</v>
      </c>
      <c r="R1192" s="5" t="s">
        <v>1076</v>
      </c>
    </row>
    <row r="1193" spans="1:18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5">
        <v>275.42857142857002</v>
      </c>
      <c r="L1193" s="14">
        <f t="shared" ref="L1193:L1238" si="93">IFERROR(IF(OR(J1193=0,K1193=""),"",IF(E1193="Positivo",MIN(MAX(K1193/J1193,0),1.3),MIN(MAX(J1193/K1193,0),1.3))),"")</f>
        <v>1.3</v>
      </c>
      <c r="M1193" s="14">
        <f t="shared" ref="M1193:M1238" si="94">IFERROR(IF(OR(J1193=0,K1193=""),"",IF(E1193="Positivo",MAX(K1193/J1193,0),MAX(J1193/K1193,0))),"")</f>
        <v>2.7542857142857002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2820</v>
      </c>
    </row>
    <row r="1194" spans="1:18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349.71</v>
      </c>
      <c r="L1194" s="14">
        <f t="shared" si="93"/>
        <v>1.3</v>
      </c>
      <c r="M1194" s="14">
        <f t="shared" si="94"/>
        <v>3.4970999999999997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1079</v>
      </c>
    </row>
    <row r="1195" spans="1:18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100</v>
      </c>
      <c r="K1195" s="5">
        <v>118.6</v>
      </c>
      <c r="L1195" s="14">
        <f t="shared" si="93"/>
        <v>1.1859999999999999</v>
      </c>
      <c r="M1195" s="14">
        <f t="shared" si="94"/>
        <v>1.1859999999999999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2823</v>
      </c>
    </row>
    <row r="1196" spans="1:18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100</v>
      </c>
      <c r="K1196" s="10">
        <v>192</v>
      </c>
      <c r="L1196" s="14">
        <f t="shared" si="93"/>
        <v>1.3</v>
      </c>
      <c r="M1196" s="14">
        <f t="shared" si="94"/>
        <v>1.92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1080</v>
      </c>
    </row>
    <row r="1197" spans="1:18" x14ac:dyDescent="0.3">
      <c r="A1197" s="5">
        <v>394</v>
      </c>
      <c r="B1197" s="5" t="s">
        <v>1077</v>
      </c>
      <c r="C1197" s="5" t="s">
        <v>1078</v>
      </c>
      <c r="D1197" s="5" t="s">
        <v>27</v>
      </c>
      <c r="E1197" s="5" t="s">
        <v>22</v>
      </c>
      <c r="F1197" s="71">
        <v>45838</v>
      </c>
      <c r="G1197" s="5">
        <v>2025</v>
      </c>
      <c r="H1197" s="5" t="s">
        <v>699</v>
      </c>
      <c r="I1197" s="6" t="s">
        <v>700</v>
      </c>
      <c r="J1197" s="5">
        <v>100</v>
      </c>
      <c r="K1197" s="5">
        <v>162.18</v>
      </c>
      <c r="L1197" s="14">
        <f t="shared" si="93"/>
        <v>1.3</v>
      </c>
      <c r="M1197" s="14">
        <f t="shared" si="94"/>
        <v>1.6218000000000001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2826</v>
      </c>
    </row>
    <row r="1198" spans="1:18" x14ac:dyDescent="0.3">
      <c r="A1198" s="5">
        <v>394</v>
      </c>
      <c r="B1198" s="5" t="s">
        <v>1077</v>
      </c>
      <c r="C1198" s="5" t="s">
        <v>1078</v>
      </c>
      <c r="D1198" s="5" t="s">
        <v>27</v>
      </c>
      <c r="E1198" s="5" t="s">
        <v>22</v>
      </c>
      <c r="F1198" s="71">
        <v>46022</v>
      </c>
      <c r="G1198" s="5">
        <v>2025</v>
      </c>
      <c r="H1198" s="5" t="s">
        <v>23</v>
      </c>
      <c r="I1198" s="6" t="s">
        <v>32</v>
      </c>
      <c r="J1198" s="5">
        <v>100</v>
      </c>
      <c r="K1198" s="5">
        <v>114.605</v>
      </c>
      <c r="L1198" s="14">
        <f t="shared" si="93"/>
        <v>1.14605</v>
      </c>
      <c r="M1198" s="14">
        <f t="shared" si="94"/>
        <v>1.14605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1081</v>
      </c>
    </row>
    <row r="1199" spans="1:18" x14ac:dyDescent="0.3">
      <c r="A1199" s="5">
        <v>395</v>
      </c>
      <c r="B1199" s="5" t="s">
        <v>1082</v>
      </c>
      <c r="C1199" s="5" t="s">
        <v>1078</v>
      </c>
      <c r="D1199" s="5" t="s">
        <v>27</v>
      </c>
      <c r="E1199" s="5" t="s">
        <v>22</v>
      </c>
      <c r="F1199" s="71">
        <v>45107</v>
      </c>
      <c r="G1199" s="5">
        <v>2023</v>
      </c>
      <c r="H1199" s="5" t="s">
        <v>699</v>
      </c>
      <c r="I1199" s="6" t="s">
        <v>1512</v>
      </c>
      <c r="J1199" s="5">
        <v>100</v>
      </c>
      <c r="K1199" s="11">
        <v>294.11764705882001</v>
      </c>
      <c r="L1199" s="14">
        <f t="shared" si="93"/>
        <v>1.3</v>
      </c>
      <c r="M1199" s="14">
        <f t="shared" si="94"/>
        <v>2.9411764705882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x14ac:dyDescent="0.3">
      <c r="A1200" s="5">
        <v>395</v>
      </c>
      <c r="B1200" s="5" t="s">
        <v>1082</v>
      </c>
      <c r="C1200" s="5" t="s">
        <v>1078</v>
      </c>
      <c r="D1200" s="5" t="s">
        <v>27</v>
      </c>
      <c r="E1200" s="5" t="s">
        <v>22</v>
      </c>
      <c r="F1200" s="71">
        <v>45291</v>
      </c>
      <c r="G1200" s="5">
        <v>2023</v>
      </c>
      <c r="H1200" s="5" t="s">
        <v>23</v>
      </c>
      <c r="I1200" s="6" t="s">
        <v>28</v>
      </c>
      <c r="J1200" s="5">
        <v>100</v>
      </c>
      <c r="K1200" s="5">
        <v>266.67</v>
      </c>
      <c r="L1200" s="14">
        <f t="shared" si="93"/>
        <v>1.3</v>
      </c>
      <c r="M1200" s="14">
        <f t="shared" si="94"/>
        <v>2.6667000000000001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1083</v>
      </c>
    </row>
    <row r="1201" spans="1:18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45473</v>
      </c>
      <c r="G1201" s="5">
        <v>2024</v>
      </c>
      <c r="H1201" s="5" t="s">
        <v>699</v>
      </c>
      <c r="I1201" s="6" t="s">
        <v>729</v>
      </c>
      <c r="J1201" s="5">
        <v>100</v>
      </c>
      <c r="K1201" s="5">
        <v>110</v>
      </c>
      <c r="L1201" s="74">
        <f t="shared" si="93"/>
        <v>1.1000000000000001</v>
      </c>
      <c r="M1201" s="14">
        <f t="shared" si="94"/>
        <v>1.1000000000000001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2831</v>
      </c>
    </row>
    <row r="1202" spans="1:18" x14ac:dyDescent="0.3">
      <c r="A1202" s="26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45657</v>
      </c>
      <c r="G1202" s="5">
        <v>2024</v>
      </c>
      <c r="H1202" s="5" t="s">
        <v>23</v>
      </c>
      <c r="I1202" s="6" t="s">
        <v>30</v>
      </c>
      <c r="J1202" s="5">
        <v>100</v>
      </c>
      <c r="K1202" s="9">
        <v>148.88999999999999</v>
      </c>
      <c r="L1202" s="74">
        <f t="shared" si="93"/>
        <v>1.3</v>
      </c>
      <c r="M1202" s="14">
        <f t="shared" si="94"/>
        <v>1.4888999999999999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1085</v>
      </c>
    </row>
    <row r="1203" spans="1:18" x14ac:dyDescent="0.3">
      <c r="A1203" s="26">
        <v>395</v>
      </c>
      <c r="B1203" s="5" t="s">
        <v>1084</v>
      </c>
      <c r="C1203" s="5" t="s">
        <v>1078</v>
      </c>
      <c r="D1203" s="5" t="s">
        <v>27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100</v>
      </c>
      <c r="K1203" s="10">
        <v>226.625</v>
      </c>
      <c r="L1203" s="14">
        <f t="shared" si="93"/>
        <v>1.3</v>
      </c>
      <c r="M1203" s="14">
        <f t="shared" si="94"/>
        <v>2.2662499999999999</v>
      </c>
      <c r="N1203" s="5" t="s">
        <v>128</v>
      </c>
      <c r="O1203" s="5" t="s">
        <v>128</v>
      </c>
      <c r="P1203" s="5">
        <v>0</v>
      </c>
      <c r="Q1203" s="5">
        <v>0</v>
      </c>
      <c r="R1203" s="5" t="s">
        <v>2834</v>
      </c>
    </row>
    <row r="1204" spans="1:18" x14ac:dyDescent="0.3">
      <c r="A1204" s="5">
        <v>395</v>
      </c>
      <c r="B1204" s="5" t="s">
        <v>1084</v>
      </c>
      <c r="C1204" s="5" t="s">
        <v>1078</v>
      </c>
      <c r="D1204" s="5" t="s">
        <v>27</v>
      </c>
      <c r="E1204" s="5" t="s">
        <v>22</v>
      </c>
      <c r="F1204" s="71">
        <v>46022</v>
      </c>
      <c r="G1204" s="5">
        <v>2025</v>
      </c>
      <c r="H1204" s="5" t="s">
        <v>23</v>
      </c>
      <c r="I1204" s="6" t="s">
        <v>32</v>
      </c>
      <c r="J1204" s="73">
        <v>100</v>
      </c>
      <c r="K1204" s="9">
        <v>182.20500000000001</v>
      </c>
      <c r="L1204" s="14">
        <f t="shared" si="93"/>
        <v>1.3</v>
      </c>
      <c r="M1204" s="14">
        <f t="shared" si="94"/>
        <v>1.8220500000000002</v>
      </c>
      <c r="N1204" s="5" t="s">
        <v>128</v>
      </c>
      <c r="O1204" s="5" t="s">
        <v>128</v>
      </c>
      <c r="P1204" s="5">
        <v>0</v>
      </c>
      <c r="Q1204" s="5">
        <v>0</v>
      </c>
      <c r="R1204" s="5" t="s">
        <v>1086</v>
      </c>
    </row>
    <row r="1205" spans="1:18" x14ac:dyDescent="0.3">
      <c r="A1205" s="5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80</v>
      </c>
      <c r="K1205" s="10">
        <v>91.07</v>
      </c>
      <c r="L1205" s="14">
        <f t="shared" si="93"/>
        <v>1.1383749999999999</v>
      </c>
      <c r="M1205" s="14">
        <f t="shared" si="94"/>
        <v>1.1383749999999999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3258</v>
      </c>
    </row>
    <row r="1206" spans="1:18" x14ac:dyDescent="0.3">
      <c r="A1206" s="5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80</v>
      </c>
      <c r="K1206" s="5">
        <v>92.96</v>
      </c>
      <c r="L1206" s="14">
        <f t="shared" si="93"/>
        <v>1.1619999999999999</v>
      </c>
      <c r="M1206" s="14">
        <f t="shared" si="94"/>
        <v>1.1619999999999999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1088</v>
      </c>
    </row>
    <row r="1207" spans="1:18" x14ac:dyDescent="0.3">
      <c r="A1207" s="26">
        <v>396</v>
      </c>
      <c r="B1207" s="5" t="s">
        <v>1087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80</v>
      </c>
      <c r="K1207" s="48">
        <v>88.08</v>
      </c>
      <c r="L1207" s="74">
        <f t="shared" si="93"/>
        <v>1.101</v>
      </c>
      <c r="M1207" s="14">
        <f t="shared" si="94"/>
        <v>1.101</v>
      </c>
      <c r="N1207" s="5" t="s">
        <v>25</v>
      </c>
      <c r="O1207" s="5" t="s">
        <v>25</v>
      </c>
      <c r="P1207" s="5">
        <v>0</v>
      </c>
      <c r="Q1207" s="5">
        <v>1</v>
      </c>
      <c r="R1207" s="5" t="s">
        <v>1090</v>
      </c>
    </row>
    <row r="1208" spans="1:18" x14ac:dyDescent="0.3">
      <c r="A1208" s="26">
        <v>396</v>
      </c>
      <c r="B1208" s="5" t="s">
        <v>1087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80</v>
      </c>
      <c r="K1208" s="5">
        <v>94.88</v>
      </c>
      <c r="L1208" s="74">
        <f t="shared" si="93"/>
        <v>1.1859999999999999</v>
      </c>
      <c r="M1208" s="14">
        <f t="shared" si="94"/>
        <v>1.1859999999999999</v>
      </c>
      <c r="N1208" s="5" t="s">
        <v>25</v>
      </c>
      <c r="O1208" s="5" t="s">
        <v>25</v>
      </c>
      <c r="P1208" s="5">
        <v>0</v>
      </c>
      <c r="Q1208" s="5">
        <v>1</v>
      </c>
      <c r="R1208" s="5" t="s">
        <v>3259</v>
      </c>
    </row>
    <row r="1209" spans="1:18" x14ac:dyDescent="0.3">
      <c r="A1209" s="26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45107</v>
      </c>
      <c r="G1209" s="5">
        <v>2023</v>
      </c>
      <c r="H1209" s="5" t="s">
        <v>699</v>
      </c>
      <c r="I1209" s="6" t="s">
        <v>1512</v>
      </c>
      <c r="J1209" s="5">
        <v>80</v>
      </c>
      <c r="K1209" s="10">
        <v>91.071428571428996</v>
      </c>
      <c r="L1209" s="74">
        <f t="shared" si="93"/>
        <v>1.1383928571428625</v>
      </c>
      <c r="M1209" s="14">
        <f t="shared" si="94"/>
        <v>1.1383928571428625</v>
      </c>
      <c r="N1209" s="5" t="s">
        <v>25</v>
      </c>
      <c r="O1209" s="5" t="s">
        <v>25</v>
      </c>
      <c r="P1209" s="5">
        <v>1</v>
      </c>
      <c r="Q1209" s="5">
        <v>1</v>
      </c>
      <c r="R1209" s="5" t="s">
        <v>2836</v>
      </c>
    </row>
    <row r="1210" spans="1:18" x14ac:dyDescent="0.3">
      <c r="A1210" s="5">
        <v>397</v>
      </c>
      <c r="B1210" t="s">
        <v>1094</v>
      </c>
      <c r="C1210" s="5" t="s">
        <v>1089</v>
      </c>
      <c r="D1210" s="5" t="s">
        <v>27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80</v>
      </c>
      <c r="K1210" s="5">
        <v>92.96</v>
      </c>
      <c r="L1210" s="14">
        <f t="shared" si="93"/>
        <v>1.1619999999999999</v>
      </c>
      <c r="M1210" s="14">
        <f t="shared" si="94"/>
        <v>1.1619999999999999</v>
      </c>
      <c r="N1210" s="5" t="s">
        <v>25</v>
      </c>
      <c r="O1210" s="5" t="s">
        <v>25</v>
      </c>
      <c r="P1210" s="5">
        <v>1</v>
      </c>
      <c r="Q1210" s="5">
        <v>1</v>
      </c>
      <c r="R1210" s="5" t="s">
        <v>1092</v>
      </c>
    </row>
    <row r="1211" spans="1:18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45473</v>
      </c>
      <c r="G1211" s="5">
        <v>2024</v>
      </c>
      <c r="H1211" s="5" t="s">
        <v>699</v>
      </c>
      <c r="I1211" s="6" t="s">
        <v>729</v>
      </c>
      <c r="J1211" s="5">
        <v>80</v>
      </c>
      <c r="K1211" s="5">
        <v>88.08</v>
      </c>
      <c r="L1211" s="14">
        <f t="shared" si="93"/>
        <v>1.101</v>
      </c>
      <c r="M1211" s="14">
        <f t="shared" si="94"/>
        <v>1.101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2837</v>
      </c>
    </row>
    <row r="1212" spans="1:18" x14ac:dyDescent="0.3">
      <c r="A1212" s="5">
        <v>397</v>
      </c>
      <c r="B1212" s="5" t="s">
        <v>1094</v>
      </c>
      <c r="C1212" s="5" t="s">
        <v>1089</v>
      </c>
      <c r="D1212" s="5" t="s">
        <v>27</v>
      </c>
      <c r="E1212" s="5" t="s">
        <v>22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80</v>
      </c>
      <c r="K1212" s="5">
        <v>94.88</v>
      </c>
      <c r="L1212" s="14">
        <f t="shared" si="93"/>
        <v>1.1859999999999999</v>
      </c>
      <c r="M1212" s="14">
        <f t="shared" si="94"/>
        <v>1.1859999999999999</v>
      </c>
      <c r="N1212" s="5" t="s">
        <v>25</v>
      </c>
      <c r="O1212" s="5" t="s">
        <v>25</v>
      </c>
      <c r="P1212" s="5">
        <v>0</v>
      </c>
      <c r="Q1212" s="5">
        <v>0</v>
      </c>
      <c r="R1212" s="5" t="s">
        <v>1093</v>
      </c>
    </row>
    <row r="1213" spans="1:18" x14ac:dyDescent="0.3">
      <c r="A1213" s="5">
        <v>397</v>
      </c>
      <c r="B1213" s="5" t="s">
        <v>1094</v>
      </c>
      <c r="C1213" s="5" t="s">
        <v>1089</v>
      </c>
      <c r="D1213" s="5" t="s">
        <v>27</v>
      </c>
      <c r="E1213" s="5" t="s">
        <v>22</v>
      </c>
      <c r="F1213" s="71">
        <v>45838</v>
      </c>
      <c r="G1213" s="5">
        <v>2025</v>
      </c>
      <c r="H1213" s="5" t="s">
        <v>699</v>
      </c>
      <c r="I1213" s="6" t="s">
        <v>700</v>
      </c>
      <c r="J1213" s="5">
        <v>90</v>
      </c>
      <c r="K1213" s="10">
        <v>95.26</v>
      </c>
      <c r="L1213" s="14">
        <f t="shared" si="93"/>
        <v>1.0584444444444445</v>
      </c>
      <c r="M1213" s="14">
        <f t="shared" si="94"/>
        <v>1.0584444444444445</v>
      </c>
      <c r="N1213" s="5" t="s">
        <v>25</v>
      </c>
      <c r="O1213" s="5" t="s">
        <v>25</v>
      </c>
      <c r="P1213" s="5">
        <v>0</v>
      </c>
      <c r="Q1213" s="5">
        <v>0</v>
      </c>
      <c r="R1213" s="5" t="s">
        <v>2838</v>
      </c>
    </row>
    <row r="1214" spans="1:18" x14ac:dyDescent="0.3">
      <c r="A1214" s="5">
        <v>397</v>
      </c>
      <c r="B1214" s="5" t="s">
        <v>1094</v>
      </c>
      <c r="C1214" s="5" t="s">
        <v>1089</v>
      </c>
      <c r="D1214" s="5" t="s">
        <v>21</v>
      </c>
      <c r="E1214" s="5" t="s">
        <v>22</v>
      </c>
      <c r="F1214" s="71">
        <v>46022</v>
      </c>
      <c r="G1214" s="5">
        <v>2025</v>
      </c>
      <c r="H1214" s="5" t="s">
        <v>23</v>
      </c>
      <c r="I1214" s="6" t="s">
        <v>32</v>
      </c>
      <c r="J1214" s="5">
        <v>90</v>
      </c>
      <c r="K1214" s="5">
        <v>96.14</v>
      </c>
      <c r="L1214" s="14">
        <f t="shared" si="93"/>
        <v>1.0682222222222222</v>
      </c>
      <c r="M1214" s="14">
        <f t="shared" si="94"/>
        <v>1.0682222222222222</v>
      </c>
      <c r="N1214" s="5" t="s">
        <v>25</v>
      </c>
      <c r="O1214" s="5" t="s">
        <v>25</v>
      </c>
      <c r="P1214" s="5">
        <v>0</v>
      </c>
      <c r="Q1214" s="5">
        <v>1</v>
      </c>
      <c r="R1214" s="5" t="s">
        <v>1095</v>
      </c>
    </row>
    <row r="1215" spans="1:18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699</v>
      </c>
      <c r="I1215" s="6" t="s">
        <v>1512</v>
      </c>
      <c r="J1215" s="5">
        <v>100</v>
      </c>
      <c r="K1215" s="5">
        <v>256.8</v>
      </c>
      <c r="L1215" s="14">
        <f t="shared" si="93"/>
        <v>1.3</v>
      </c>
      <c r="M1215" s="14">
        <f t="shared" si="94"/>
        <v>2.5680000000000001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2839</v>
      </c>
    </row>
    <row r="1216" spans="1:18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234.4</v>
      </c>
      <c r="L1216" s="14">
        <f t="shared" si="93"/>
        <v>1.3</v>
      </c>
      <c r="M1216" s="14">
        <f t="shared" si="94"/>
        <v>2.3439999999999999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1098</v>
      </c>
    </row>
    <row r="1217" spans="1:18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699</v>
      </c>
      <c r="I1217" s="6" t="s">
        <v>729</v>
      </c>
      <c r="J1217" s="82">
        <v>100</v>
      </c>
      <c r="K1217" s="9">
        <v>283.92</v>
      </c>
      <c r="L1217" s="14">
        <f t="shared" si="93"/>
        <v>1.3</v>
      </c>
      <c r="M1217" s="14">
        <f t="shared" si="94"/>
        <v>2.8391999999999999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2840</v>
      </c>
    </row>
    <row r="1218" spans="1:18" x14ac:dyDescent="0.3">
      <c r="A1218" s="5">
        <v>398</v>
      </c>
      <c r="B1218" s="5" t="s">
        <v>1096</v>
      </c>
      <c r="C1218" s="5" t="s">
        <v>1097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5">
        <v>160</v>
      </c>
      <c r="L1218" s="14">
        <f t="shared" si="93"/>
        <v>1.3</v>
      </c>
      <c r="M1218" s="14">
        <f t="shared" si="94"/>
        <v>1.6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1099</v>
      </c>
    </row>
    <row r="1219" spans="1:18" x14ac:dyDescent="0.3">
      <c r="A1219" s="5">
        <v>398</v>
      </c>
      <c r="B1219" s="5" t="s">
        <v>1096</v>
      </c>
      <c r="C1219" s="5" t="s">
        <v>1097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699</v>
      </c>
      <c r="I1219" s="6" t="s">
        <v>700</v>
      </c>
      <c r="J1219" s="5">
        <v>100</v>
      </c>
      <c r="K1219" s="5">
        <v>159.5</v>
      </c>
      <c r="L1219" s="14">
        <f t="shared" si="93"/>
        <v>1.3</v>
      </c>
      <c r="M1219" s="14">
        <f t="shared" si="94"/>
        <v>1.595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x14ac:dyDescent="0.3">
      <c r="A1220" s="5">
        <v>398</v>
      </c>
      <c r="B1220" s="5" t="s">
        <v>1096</v>
      </c>
      <c r="C1220" s="5" t="s">
        <v>1097</v>
      </c>
      <c r="D1220" s="5" t="s">
        <v>21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32</v>
      </c>
      <c r="J1220" s="5">
        <v>100</v>
      </c>
      <c r="K1220" s="5">
        <v>168.71</v>
      </c>
      <c r="L1220" s="14">
        <f t="shared" si="93"/>
        <v>1.3</v>
      </c>
      <c r="M1220" s="14">
        <f t="shared" si="94"/>
        <v>1.6871</v>
      </c>
      <c r="N1220" s="5" t="s">
        <v>128</v>
      </c>
      <c r="O1220" s="5" t="s">
        <v>128</v>
      </c>
      <c r="P1220" s="5">
        <v>0</v>
      </c>
      <c r="Q1220" s="5">
        <v>0</v>
      </c>
      <c r="R1220" s="5" t="s">
        <v>1100</v>
      </c>
    </row>
    <row r="1221" spans="1:18" x14ac:dyDescent="0.3">
      <c r="A1221" s="5">
        <v>399</v>
      </c>
      <c r="B1221" s="5" t="s">
        <v>2842</v>
      </c>
      <c r="C1221" s="5" t="s">
        <v>1097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100</v>
      </c>
      <c r="K1221" s="5">
        <v>117.8</v>
      </c>
      <c r="L1221" s="14">
        <f t="shared" si="93"/>
        <v>1.1779999999999999</v>
      </c>
      <c r="M1221" s="14">
        <f t="shared" si="94"/>
        <v>1.1779999999999999</v>
      </c>
      <c r="N1221" s="5" t="s">
        <v>128</v>
      </c>
      <c r="O1221" s="5" t="s">
        <v>128</v>
      </c>
      <c r="P1221" s="5">
        <v>0</v>
      </c>
      <c r="Q1221" s="5">
        <v>0</v>
      </c>
      <c r="R1221" s="5" t="s">
        <v>2843</v>
      </c>
    </row>
    <row r="1222" spans="1:18" x14ac:dyDescent="0.3">
      <c r="A1222">
        <v>399</v>
      </c>
      <c r="B1222" t="s">
        <v>2842</v>
      </c>
      <c r="C1222" t="s">
        <v>1097</v>
      </c>
      <c r="D1222" t="s">
        <v>27</v>
      </c>
      <c r="E1222" t="s">
        <v>22</v>
      </c>
      <c r="F1222" s="79">
        <v>45291</v>
      </c>
      <c r="G1222">
        <v>2023</v>
      </c>
      <c r="H1222" t="s">
        <v>23</v>
      </c>
      <c r="I1222" t="s">
        <v>28</v>
      </c>
      <c r="J1222">
        <v>100</v>
      </c>
      <c r="K1222">
        <v>149</v>
      </c>
      <c r="L1222" s="39">
        <f t="shared" si="93"/>
        <v>1.3</v>
      </c>
      <c r="M1222" s="39">
        <f t="shared" si="94"/>
        <v>1.49</v>
      </c>
      <c r="N1222" t="s">
        <v>128</v>
      </c>
      <c r="O1222" t="s">
        <v>128</v>
      </c>
      <c r="P1222">
        <v>0</v>
      </c>
      <c r="Q1222">
        <v>0</v>
      </c>
      <c r="R1222" t="s">
        <v>1102</v>
      </c>
    </row>
    <row r="1223" spans="1:18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45473</v>
      </c>
      <c r="G1223">
        <v>2024</v>
      </c>
      <c r="H1223" t="s">
        <v>699</v>
      </c>
      <c r="I1223" t="s">
        <v>729</v>
      </c>
      <c r="J1223">
        <v>100</v>
      </c>
      <c r="K1223">
        <v>111.36</v>
      </c>
      <c r="L1223" s="39">
        <f t="shared" si="93"/>
        <v>1.1135999999999999</v>
      </c>
      <c r="M1223" s="39">
        <f t="shared" si="94"/>
        <v>1.1135999999999999</v>
      </c>
      <c r="N1223" t="s">
        <v>128</v>
      </c>
      <c r="O1223" t="s">
        <v>128</v>
      </c>
      <c r="P1223">
        <v>0</v>
      </c>
      <c r="Q1223">
        <v>0</v>
      </c>
      <c r="R1223" t="s">
        <v>2844</v>
      </c>
    </row>
    <row r="1224" spans="1:18" x14ac:dyDescent="0.3">
      <c r="A1224">
        <v>399</v>
      </c>
      <c r="B1224" t="s">
        <v>1101</v>
      </c>
      <c r="C1224" t="s">
        <v>1097</v>
      </c>
      <c r="D1224" t="s">
        <v>27</v>
      </c>
      <c r="E1224" t="s">
        <v>22</v>
      </c>
      <c r="F1224" s="79">
        <v>45657</v>
      </c>
      <c r="G1224">
        <v>2024</v>
      </c>
      <c r="H1224" t="s">
        <v>23</v>
      </c>
      <c r="I1224" t="s">
        <v>30</v>
      </c>
      <c r="J1224">
        <v>100</v>
      </c>
      <c r="K1224">
        <v>111.36</v>
      </c>
      <c r="L1224" s="39">
        <f t="shared" si="93"/>
        <v>1.1135999999999999</v>
      </c>
      <c r="M1224" s="39">
        <f t="shared" si="94"/>
        <v>1.1135999999999999</v>
      </c>
      <c r="N1224" t="s">
        <v>128</v>
      </c>
      <c r="O1224" t="s">
        <v>128</v>
      </c>
      <c r="P1224">
        <v>0</v>
      </c>
      <c r="Q1224">
        <v>0</v>
      </c>
      <c r="R1224" t="s">
        <v>1103</v>
      </c>
    </row>
    <row r="1225" spans="1:18" x14ac:dyDescent="0.3">
      <c r="A1225">
        <v>399</v>
      </c>
      <c r="B1225" t="s">
        <v>1101</v>
      </c>
      <c r="C1225" t="s">
        <v>1097</v>
      </c>
      <c r="D1225" t="s">
        <v>27</v>
      </c>
      <c r="E1225" t="s">
        <v>22</v>
      </c>
      <c r="F1225" s="79">
        <v>45838</v>
      </c>
      <c r="G1225">
        <v>2025</v>
      </c>
      <c r="H1225" t="s">
        <v>699</v>
      </c>
      <c r="I1225" t="s">
        <v>700</v>
      </c>
      <c r="J1225">
        <v>100</v>
      </c>
      <c r="K1225">
        <v>102.93</v>
      </c>
      <c r="L1225" s="39">
        <f t="shared" si="93"/>
        <v>1.0293000000000001</v>
      </c>
      <c r="M1225" s="39">
        <f t="shared" si="94"/>
        <v>1.0293000000000001</v>
      </c>
      <c r="N1225" t="s">
        <v>128</v>
      </c>
      <c r="O1225" t="s">
        <v>128</v>
      </c>
      <c r="P1225">
        <v>0</v>
      </c>
      <c r="Q1225">
        <v>0</v>
      </c>
      <c r="R1225" t="s">
        <v>2845</v>
      </c>
    </row>
    <row r="1226" spans="1:18" x14ac:dyDescent="0.3">
      <c r="A1226">
        <v>399</v>
      </c>
      <c r="B1226" t="s">
        <v>1101</v>
      </c>
      <c r="C1226" t="s">
        <v>1097</v>
      </c>
      <c r="D1226" t="s">
        <v>21</v>
      </c>
      <c r="E1226" t="s">
        <v>22</v>
      </c>
      <c r="F1226" s="79">
        <v>46022</v>
      </c>
      <c r="G1226">
        <v>2025</v>
      </c>
      <c r="H1226" t="s">
        <v>23</v>
      </c>
      <c r="I1226" t="s">
        <v>32</v>
      </c>
      <c r="J1226">
        <v>100</v>
      </c>
      <c r="K1226">
        <v>106.13</v>
      </c>
      <c r="L1226" s="39">
        <f t="shared" si="93"/>
        <v>1.0612999999999999</v>
      </c>
      <c r="M1226" s="39">
        <f t="shared" si="94"/>
        <v>1.0612999999999999</v>
      </c>
      <c r="N1226" t="s">
        <v>128</v>
      </c>
      <c r="O1226" t="s">
        <v>128</v>
      </c>
      <c r="P1226">
        <v>0</v>
      </c>
      <c r="Q1226">
        <v>0</v>
      </c>
      <c r="R1226" t="s">
        <v>1104</v>
      </c>
    </row>
    <row r="1227" spans="1:18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45107</v>
      </c>
      <c r="G1227">
        <v>2023</v>
      </c>
      <c r="H1227" t="s">
        <v>699</v>
      </c>
      <c r="I1227" t="s">
        <v>1512</v>
      </c>
      <c r="J1227">
        <v>100</v>
      </c>
      <c r="K1227">
        <v>220</v>
      </c>
      <c r="L1227" s="39">
        <f t="shared" si="93"/>
        <v>1.3</v>
      </c>
      <c r="M1227" s="39">
        <f t="shared" si="94"/>
        <v>2.2000000000000002</v>
      </c>
      <c r="N1227" t="s">
        <v>128</v>
      </c>
      <c r="O1227" t="s">
        <v>128</v>
      </c>
      <c r="P1227">
        <v>0</v>
      </c>
      <c r="Q1227">
        <v>0</v>
      </c>
      <c r="R1227" t="s">
        <v>2846</v>
      </c>
    </row>
    <row r="1228" spans="1:18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45291</v>
      </c>
      <c r="G1228">
        <v>2023</v>
      </c>
      <c r="H1228" t="s">
        <v>23</v>
      </c>
      <c r="I1228" t="s">
        <v>28</v>
      </c>
      <c r="J1228">
        <v>100</v>
      </c>
      <c r="K1228">
        <v>282.86</v>
      </c>
      <c r="L1228" s="39">
        <f t="shared" si="93"/>
        <v>1.3</v>
      </c>
      <c r="M1228" s="39">
        <f t="shared" si="94"/>
        <v>2.8286000000000002</v>
      </c>
      <c r="N1228" t="s">
        <v>128</v>
      </c>
      <c r="O1228" t="s">
        <v>128</v>
      </c>
      <c r="P1228">
        <v>0</v>
      </c>
      <c r="Q1228">
        <v>0</v>
      </c>
      <c r="R1228" t="s">
        <v>1106</v>
      </c>
    </row>
    <row r="1229" spans="1:18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45473</v>
      </c>
      <c r="G1229">
        <v>2024</v>
      </c>
      <c r="H1229" t="s">
        <v>699</v>
      </c>
      <c r="I1229" t="s">
        <v>729</v>
      </c>
      <c r="J1229">
        <v>100</v>
      </c>
      <c r="K1229">
        <v>270.45</v>
      </c>
      <c r="L1229" s="39">
        <f t="shared" si="93"/>
        <v>1.3</v>
      </c>
      <c r="M1229" s="39">
        <f t="shared" si="94"/>
        <v>2.7044999999999999</v>
      </c>
      <c r="N1229" t="s">
        <v>128</v>
      </c>
      <c r="O1229" t="s">
        <v>128</v>
      </c>
      <c r="P1229">
        <v>0</v>
      </c>
      <c r="Q1229">
        <v>0</v>
      </c>
      <c r="R1229" t="s">
        <v>2847</v>
      </c>
    </row>
    <row r="1230" spans="1:18" x14ac:dyDescent="0.3">
      <c r="A1230">
        <v>400</v>
      </c>
      <c r="B1230" t="s">
        <v>1105</v>
      </c>
      <c r="C1230" t="s">
        <v>1097</v>
      </c>
      <c r="D1230" t="s">
        <v>27</v>
      </c>
      <c r="E1230" t="s">
        <v>22</v>
      </c>
      <c r="F1230" s="79">
        <v>45657</v>
      </c>
      <c r="G1230">
        <v>2024</v>
      </c>
      <c r="H1230" t="s">
        <v>23</v>
      </c>
      <c r="I1230" t="s">
        <v>30</v>
      </c>
      <c r="J1230">
        <v>100</v>
      </c>
      <c r="K1230">
        <v>397.73</v>
      </c>
      <c r="L1230" s="39">
        <f t="shared" si="93"/>
        <v>1.3</v>
      </c>
      <c r="M1230" s="39">
        <f t="shared" si="94"/>
        <v>3.9773000000000001</v>
      </c>
      <c r="N1230" t="s">
        <v>128</v>
      </c>
      <c r="O1230" t="s">
        <v>128</v>
      </c>
      <c r="P1230">
        <v>0</v>
      </c>
      <c r="Q1230">
        <v>0</v>
      </c>
      <c r="R1230" t="s">
        <v>1107</v>
      </c>
    </row>
    <row r="1231" spans="1:18" x14ac:dyDescent="0.3">
      <c r="A1231">
        <v>400</v>
      </c>
      <c r="B1231" t="s">
        <v>1105</v>
      </c>
      <c r="C1231" t="s">
        <v>1097</v>
      </c>
      <c r="D1231" t="s">
        <v>27</v>
      </c>
      <c r="E1231" t="s">
        <v>22</v>
      </c>
      <c r="F1231" s="79">
        <v>45838</v>
      </c>
      <c r="G1231">
        <v>2025</v>
      </c>
      <c r="H1231" t="s">
        <v>699</v>
      </c>
      <c r="I1231" t="s">
        <v>700</v>
      </c>
      <c r="J1231">
        <v>100</v>
      </c>
      <c r="K1231">
        <v>123</v>
      </c>
      <c r="L1231" s="39">
        <f t="shared" si="93"/>
        <v>1.23</v>
      </c>
      <c r="M1231" s="39">
        <f t="shared" si="94"/>
        <v>1.23</v>
      </c>
      <c r="N1231" t="s">
        <v>128</v>
      </c>
      <c r="O1231" t="s">
        <v>128</v>
      </c>
      <c r="P1231">
        <v>0</v>
      </c>
      <c r="Q1231">
        <v>0</v>
      </c>
      <c r="R1231" t="s">
        <v>2848</v>
      </c>
    </row>
    <row r="1232" spans="1:18" x14ac:dyDescent="0.3">
      <c r="A1232">
        <v>400</v>
      </c>
      <c r="B1232" t="s">
        <v>1105</v>
      </c>
      <c r="C1232" t="s">
        <v>1097</v>
      </c>
      <c r="D1232" t="s">
        <v>21</v>
      </c>
      <c r="E1232" t="s">
        <v>22</v>
      </c>
      <c r="F1232" s="79">
        <v>46022</v>
      </c>
      <c r="G1232">
        <v>2025</v>
      </c>
      <c r="H1232" t="s">
        <v>23</v>
      </c>
      <c r="I1232" t="s">
        <v>32</v>
      </c>
      <c r="J1232">
        <v>100</v>
      </c>
      <c r="K1232">
        <v>127.14</v>
      </c>
      <c r="L1232" s="39">
        <f t="shared" si="93"/>
        <v>1.2714000000000001</v>
      </c>
      <c r="M1232" s="39">
        <f t="shared" si="94"/>
        <v>1.2714000000000001</v>
      </c>
      <c r="N1232" t="s">
        <v>128</v>
      </c>
      <c r="O1232" t="s">
        <v>128</v>
      </c>
      <c r="P1232">
        <v>0</v>
      </c>
      <c r="Q1232">
        <v>0</v>
      </c>
      <c r="R1232" t="s">
        <v>1108</v>
      </c>
    </row>
    <row r="1233" spans="1:19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45107</v>
      </c>
      <c r="G1233">
        <v>2023</v>
      </c>
      <c r="H1233" t="s">
        <v>699</v>
      </c>
      <c r="I1233" t="s">
        <v>1512</v>
      </c>
      <c r="J1233">
        <v>90</v>
      </c>
      <c r="K1233">
        <v>87.5</v>
      </c>
      <c r="L1233" s="39">
        <f t="shared" si="93"/>
        <v>0.97222222222222221</v>
      </c>
      <c r="M1233" s="39">
        <f t="shared" si="94"/>
        <v>0.97222222222222221</v>
      </c>
      <c r="N1233" t="s">
        <v>128</v>
      </c>
      <c r="O1233" t="s">
        <v>128</v>
      </c>
      <c r="P1233">
        <v>0</v>
      </c>
      <c r="Q1233">
        <v>0</v>
      </c>
      <c r="R1233" t="s">
        <v>2849</v>
      </c>
    </row>
    <row r="1234" spans="1:19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90</v>
      </c>
      <c r="K1234">
        <v>125</v>
      </c>
      <c r="L1234" s="39">
        <f t="shared" si="93"/>
        <v>1.3</v>
      </c>
      <c r="M1234" s="39">
        <f t="shared" si="94"/>
        <v>1.3888888888888888</v>
      </c>
      <c r="N1234" t="s">
        <v>128</v>
      </c>
      <c r="O1234" t="s">
        <v>128</v>
      </c>
      <c r="P1234">
        <v>0</v>
      </c>
      <c r="Q1234">
        <v>0</v>
      </c>
      <c r="R1234" t="s">
        <v>1111</v>
      </c>
    </row>
    <row r="1235" spans="1:19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90</v>
      </c>
      <c r="K1235">
        <v>112.5</v>
      </c>
      <c r="L1235" s="39">
        <f t="shared" si="93"/>
        <v>1.25</v>
      </c>
      <c r="M1235" s="39">
        <f t="shared" si="94"/>
        <v>1.25</v>
      </c>
      <c r="N1235" t="s">
        <v>128</v>
      </c>
      <c r="O1235" t="s">
        <v>128</v>
      </c>
      <c r="P1235">
        <v>0</v>
      </c>
      <c r="Q1235">
        <v>0</v>
      </c>
      <c r="R1235" t="s">
        <v>2850</v>
      </c>
    </row>
    <row r="1236" spans="1:19" x14ac:dyDescent="0.3">
      <c r="A1236">
        <v>401</v>
      </c>
      <c r="B1236" t="s">
        <v>1109</v>
      </c>
      <c r="C1236" t="s">
        <v>1110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90</v>
      </c>
      <c r="K1236">
        <v>100</v>
      </c>
      <c r="L1236" s="39">
        <f t="shared" si="93"/>
        <v>1.1111111111111112</v>
      </c>
      <c r="M1236" s="39">
        <f t="shared" si="94"/>
        <v>1.1111111111111112</v>
      </c>
      <c r="N1236" t="s">
        <v>128</v>
      </c>
      <c r="O1236" t="s">
        <v>128</v>
      </c>
      <c r="P1236">
        <v>0</v>
      </c>
      <c r="Q1236">
        <v>0</v>
      </c>
      <c r="R1236" t="s">
        <v>1112</v>
      </c>
    </row>
    <row r="1237" spans="1:19" x14ac:dyDescent="0.3">
      <c r="A1237">
        <v>401</v>
      </c>
      <c r="B1237" t="s">
        <v>1109</v>
      </c>
      <c r="C1237" t="s">
        <v>1110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100</v>
      </c>
      <c r="L1237" s="39">
        <f t="shared" si="93"/>
        <v>1</v>
      </c>
      <c r="M1237" s="39">
        <f t="shared" si="94"/>
        <v>1</v>
      </c>
      <c r="N1237" t="s">
        <v>128</v>
      </c>
      <c r="O1237" t="s">
        <v>128</v>
      </c>
      <c r="P1237">
        <v>0</v>
      </c>
      <c r="Q1237">
        <v>0</v>
      </c>
      <c r="R1237" t="s">
        <v>2851</v>
      </c>
    </row>
    <row r="1238" spans="1:19" x14ac:dyDescent="0.3">
      <c r="A1238">
        <v>401</v>
      </c>
      <c r="B1238" t="s">
        <v>1109</v>
      </c>
      <c r="C1238" t="s">
        <v>1110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100</v>
      </c>
      <c r="L1238" s="39">
        <f t="shared" si="93"/>
        <v>1</v>
      </c>
      <c r="M1238" s="39">
        <f t="shared" si="94"/>
        <v>1</v>
      </c>
      <c r="N1238" t="s">
        <v>128</v>
      </c>
      <c r="O1238" t="s">
        <v>128</v>
      </c>
      <c r="P1238">
        <v>0</v>
      </c>
      <c r="Q1238">
        <v>0</v>
      </c>
      <c r="R1238" t="s">
        <v>1113</v>
      </c>
    </row>
    <row r="1239" spans="1:19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45291</v>
      </c>
      <c r="G1239">
        <v>2023</v>
      </c>
      <c r="H1239" t="s">
        <v>23</v>
      </c>
      <c r="I1239" t="s">
        <v>28</v>
      </c>
      <c r="K1239">
        <v>21000</v>
      </c>
      <c r="L1239" s="39"/>
      <c r="M1239" s="39"/>
      <c r="P1239">
        <v>0</v>
      </c>
      <c r="Q1239">
        <v>0</v>
      </c>
      <c r="R1239" t="s">
        <v>1115</v>
      </c>
    </row>
    <row r="1240" spans="1:19" x14ac:dyDescent="0.3">
      <c r="A1240">
        <v>402</v>
      </c>
      <c r="B1240" t="s">
        <v>1114</v>
      </c>
      <c r="C1240" t="s">
        <v>1110</v>
      </c>
      <c r="D1240" t="s">
        <v>71</v>
      </c>
      <c r="E1240" t="s">
        <v>22</v>
      </c>
      <c r="F1240" s="79">
        <v>45657</v>
      </c>
      <c r="G1240">
        <v>2024</v>
      </c>
      <c r="H1240" t="s">
        <v>23</v>
      </c>
      <c r="I1240" t="s">
        <v>30</v>
      </c>
      <c r="J1240">
        <v>3</v>
      </c>
      <c r="K1240">
        <v>4.76</v>
      </c>
      <c r="L1240" s="39">
        <f>IFERROR(IF(OR(J1240=0,K1240=""),"",IF(E1240="Positivo",MIN(MAX(K1240/J1240,0),1.3),MIN(MAX(J1240/K1240,0),1.3))),"")</f>
        <v>1.3</v>
      </c>
      <c r="M1240" s="39">
        <f>IFERROR(IF(OR(J1240=0,K1240=""),"",IF(E1240="Positivo",MAX(K1240/J1240,0),MAX(J1240/K1240,0))),"")</f>
        <v>1.5866666666666667</v>
      </c>
      <c r="P1240">
        <v>0</v>
      </c>
      <c r="Q1240">
        <v>0</v>
      </c>
      <c r="R1240" t="s">
        <v>1116</v>
      </c>
    </row>
    <row r="1241" spans="1:19" x14ac:dyDescent="0.3">
      <c r="A1241">
        <v>402</v>
      </c>
      <c r="B1241" t="s">
        <v>1114</v>
      </c>
      <c r="C1241" t="s">
        <v>1110</v>
      </c>
      <c r="D1241" t="s">
        <v>71</v>
      </c>
      <c r="E1241" t="s">
        <v>22</v>
      </c>
      <c r="F1241" s="79">
        <v>46022</v>
      </c>
      <c r="G1241">
        <v>2025</v>
      </c>
      <c r="H1241" t="s">
        <v>23</v>
      </c>
      <c r="I1241" t="s">
        <v>32</v>
      </c>
      <c r="K1241">
        <v>22.73</v>
      </c>
      <c r="L1241" s="39"/>
      <c r="M1241" s="39"/>
      <c r="N1241" t="s">
        <v>128</v>
      </c>
      <c r="O1241" t="s">
        <v>128</v>
      </c>
      <c r="P1241">
        <v>0</v>
      </c>
      <c r="Q1241">
        <v>0</v>
      </c>
      <c r="R1241" t="s">
        <v>1117</v>
      </c>
    </row>
    <row r="1242" spans="1:19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45107</v>
      </c>
      <c r="G1242">
        <v>2023</v>
      </c>
      <c r="H1242" t="s">
        <v>699</v>
      </c>
      <c r="I1242" t="s">
        <v>1512</v>
      </c>
      <c r="K1242">
        <v>14370</v>
      </c>
      <c r="L1242" s="39"/>
      <c r="M1242" s="39"/>
      <c r="N1242" t="s">
        <v>263</v>
      </c>
      <c r="P1242">
        <v>0</v>
      </c>
      <c r="Q1242">
        <v>0</v>
      </c>
      <c r="R1242" t="s">
        <v>2852</v>
      </c>
    </row>
    <row r="1243" spans="1:19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45291</v>
      </c>
      <c r="G1243">
        <v>2023</v>
      </c>
      <c r="H1243" t="s">
        <v>23</v>
      </c>
      <c r="I1243" t="s">
        <v>28</v>
      </c>
      <c r="K1243">
        <v>28639</v>
      </c>
      <c r="L1243" s="39"/>
      <c r="M1243" s="39"/>
      <c r="N1243" t="s">
        <v>263</v>
      </c>
      <c r="P1243">
        <v>0</v>
      </c>
      <c r="Q1243">
        <v>0</v>
      </c>
      <c r="R1243" t="s">
        <v>1119</v>
      </c>
    </row>
    <row r="1244" spans="1:19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45473</v>
      </c>
      <c r="G1244">
        <v>2024</v>
      </c>
      <c r="H1244" t="s">
        <v>699</v>
      </c>
      <c r="I1244" t="s">
        <v>729</v>
      </c>
      <c r="K1244">
        <v>14923</v>
      </c>
      <c r="L1244" s="39"/>
      <c r="M1244" s="39"/>
      <c r="N1244" t="s">
        <v>263</v>
      </c>
      <c r="P1244">
        <v>0</v>
      </c>
      <c r="Q1244">
        <v>0</v>
      </c>
      <c r="R1244" t="s">
        <v>2853</v>
      </c>
    </row>
    <row r="1245" spans="1:19" x14ac:dyDescent="0.3">
      <c r="A1245">
        <v>403</v>
      </c>
      <c r="B1245" t="s">
        <v>1118</v>
      </c>
      <c r="C1245" t="s">
        <v>1110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K1245">
        <v>14495</v>
      </c>
      <c r="L1245" s="39"/>
      <c r="M1245" s="39"/>
      <c r="N1245" t="s">
        <v>263</v>
      </c>
      <c r="P1245">
        <v>0</v>
      </c>
      <c r="Q1245">
        <v>0</v>
      </c>
      <c r="R1245" t="s">
        <v>1120</v>
      </c>
    </row>
    <row r="1246" spans="1:19" x14ac:dyDescent="0.3">
      <c r="A1246">
        <v>403</v>
      </c>
      <c r="B1246" t="s">
        <v>1118</v>
      </c>
      <c r="C1246" t="s">
        <v>1110</v>
      </c>
      <c r="D1246" t="s">
        <v>27</v>
      </c>
      <c r="E1246" t="s">
        <v>22</v>
      </c>
      <c r="F1246" s="79">
        <v>45838</v>
      </c>
      <c r="G1246">
        <v>2025</v>
      </c>
      <c r="H1246" t="s">
        <v>699</v>
      </c>
      <c r="I1246" t="s">
        <v>700</v>
      </c>
      <c r="K1246">
        <v>14410</v>
      </c>
      <c r="L1246" s="39"/>
      <c r="M1246" s="39"/>
      <c r="N1246" t="s">
        <v>263</v>
      </c>
      <c r="P1246">
        <v>0</v>
      </c>
      <c r="Q1246">
        <v>0</v>
      </c>
      <c r="R1246" t="s">
        <v>2854</v>
      </c>
    </row>
    <row r="1247" spans="1:19" x14ac:dyDescent="0.3">
      <c r="A1247">
        <v>403</v>
      </c>
      <c r="B1247" t="s">
        <v>1121</v>
      </c>
      <c r="C1247" t="s">
        <v>1110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32</v>
      </c>
      <c r="K1247">
        <v>12510</v>
      </c>
      <c r="L1247" s="39"/>
      <c r="M1247" s="39"/>
      <c r="N1247" t="s">
        <v>263</v>
      </c>
      <c r="O1247" t="s">
        <v>128</v>
      </c>
      <c r="P1247">
        <v>0</v>
      </c>
      <c r="Q1247">
        <v>0</v>
      </c>
      <c r="R1247" t="s">
        <v>1122</v>
      </c>
      <c r="S1247" t="s">
        <v>263</v>
      </c>
    </row>
    <row r="1248" spans="1:19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45107</v>
      </c>
      <c r="G1248">
        <v>2023</v>
      </c>
      <c r="H1248" t="s">
        <v>699</v>
      </c>
      <c r="I1248" t="s">
        <v>1512</v>
      </c>
      <c r="J1248">
        <v>20</v>
      </c>
      <c r="K1248">
        <v>2</v>
      </c>
      <c r="L1248" s="39">
        <f t="shared" ref="L1248:L1257" si="95">IFERROR(IF(OR(J1248=0,K1248=""),"",IF(E1248="Positivo",MIN(MAX(K1248/J1248,0),1.3),MIN(MAX(J1248/K1248,0),1.3))),"")</f>
        <v>1.3</v>
      </c>
      <c r="M1248" s="39">
        <f t="shared" ref="M1248:M1257" si="96">IFERROR(IF(OR(J1248=0,K1248=""),"",IF(E1248="Positivo",MAX(K1248/J1248,0),MAX(J1248/K1248,0))),"")</f>
        <v>10</v>
      </c>
      <c r="N1248" t="s">
        <v>25</v>
      </c>
      <c r="O1248" t="s">
        <v>25</v>
      </c>
      <c r="P1248">
        <v>0</v>
      </c>
      <c r="Q1248">
        <v>0</v>
      </c>
      <c r="R1248" t="s">
        <v>2855</v>
      </c>
    </row>
    <row r="1249" spans="1:18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45291</v>
      </c>
      <c r="G1249">
        <v>2023</v>
      </c>
      <c r="H1249" t="s">
        <v>23</v>
      </c>
      <c r="I1249" t="s">
        <v>28</v>
      </c>
      <c r="J1249">
        <v>20</v>
      </c>
      <c r="K1249">
        <v>1.31</v>
      </c>
      <c r="L1249" s="39">
        <f t="shared" si="95"/>
        <v>1.3</v>
      </c>
      <c r="M1249" s="39">
        <f t="shared" si="96"/>
        <v>15.267175572519083</v>
      </c>
      <c r="N1249" t="s">
        <v>25</v>
      </c>
      <c r="O1249" t="s">
        <v>25</v>
      </c>
      <c r="P1249">
        <v>0</v>
      </c>
      <c r="Q1249">
        <v>0</v>
      </c>
      <c r="R1249" t="s">
        <v>1124</v>
      </c>
    </row>
    <row r="1250" spans="1:18" x14ac:dyDescent="0.3">
      <c r="A1250">
        <v>404</v>
      </c>
      <c r="B1250" t="s">
        <v>1123</v>
      </c>
      <c r="C1250" t="s">
        <v>1110</v>
      </c>
      <c r="D1250" t="s">
        <v>27</v>
      </c>
      <c r="E1250" t="s">
        <v>41</v>
      </c>
      <c r="F1250" s="79">
        <v>45473</v>
      </c>
      <c r="G1250">
        <v>2024</v>
      </c>
      <c r="H1250" t="s">
        <v>699</v>
      </c>
      <c r="I1250" t="s">
        <v>729</v>
      </c>
      <c r="J1250">
        <v>10</v>
      </c>
      <c r="K1250">
        <v>5.85</v>
      </c>
      <c r="L1250" s="39">
        <f t="shared" si="95"/>
        <v>1.3</v>
      </c>
      <c r="M1250" s="39">
        <f t="shared" si="96"/>
        <v>1.7094017094017095</v>
      </c>
      <c r="P1250">
        <v>0</v>
      </c>
      <c r="Q1250">
        <v>0</v>
      </c>
      <c r="R1250" t="s">
        <v>2856</v>
      </c>
    </row>
    <row r="1251" spans="1:18" x14ac:dyDescent="0.3">
      <c r="A1251">
        <v>404</v>
      </c>
      <c r="B1251" t="s">
        <v>1123</v>
      </c>
      <c r="C1251" t="s">
        <v>1110</v>
      </c>
      <c r="D1251" t="s">
        <v>27</v>
      </c>
      <c r="E1251" t="s">
        <v>41</v>
      </c>
      <c r="F1251" s="79">
        <v>45657</v>
      </c>
      <c r="G1251">
        <v>2024</v>
      </c>
      <c r="H1251" t="s">
        <v>23</v>
      </c>
      <c r="I1251" t="s">
        <v>30</v>
      </c>
      <c r="J1251">
        <v>10</v>
      </c>
      <c r="K1251">
        <v>6.02</v>
      </c>
      <c r="L1251" s="39">
        <f t="shared" si="95"/>
        <v>1.3</v>
      </c>
      <c r="M1251" s="39">
        <f t="shared" si="96"/>
        <v>1.6611295681063125</v>
      </c>
      <c r="P1251">
        <v>0</v>
      </c>
      <c r="Q1251">
        <v>0</v>
      </c>
      <c r="R1251" t="s">
        <v>1125</v>
      </c>
    </row>
    <row r="1252" spans="1:18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45107</v>
      </c>
      <c r="G1252">
        <v>2023</v>
      </c>
      <c r="H1252" t="s">
        <v>699</v>
      </c>
      <c r="I1252" t="s">
        <v>1512</v>
      </c>
      <c r="J1252">
        <v>25</v>
      </c>
      <c r="K1252">
        <v>30</v>
      </c>
      <c r="L1252" s="39">
        <f t="shared" si="95"/>
        <v>1.2</v>
      </c>
      <c r="M1252" s="39">
        <f t="shared" si="96"/>
        <v>1.2</v>
      </c>
      <c r="N1252" t="s">
        <v>25</v>
      </c>
      <c r="O1252" t="s">
        <v>25</v>
      </c>
      <c r="P1252">
        <v>0</v>
      </c>
      <c r="Q1252">
        <v>0</v>
      </c>
      <c r="R1252" t="s">
        <v>2858</v>
      </c>
    </row>
    <row r="1253" spans="1:18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45291</v>
      </c>
      <c r="G1253">
        <v>2023</v>
      </c>
      <c r="H1253" t="s">
        <v>23</v>
      </c>
      <c r="I1253" t="s">
        <v>28</v>
      </c>
      <c r="J1253">
        <v>50</v>
      </c>
      <c r="K1253">
        <v>62</v>
      </c>
      <c r="L1253" s="39">
        <f t="shared" si="95"/>
        <v>1.24</v>
      </c>
      <c r="M1253" s="39">
        <f t="shared" si="96"/>
        <v>1.24</v>
      </c>
      <c r="N1253" t="s">
        <v>25</v>
      </c>
      <c r="O1253" t="s">
        <v>25</v>
      </c>
      <c r="P1253">
        <v>0</v>
      </c>
      <c r="Q1253">
        <v>0</v>
      </c>
      <c r="R1253" t="s">
        <v>1127</v>
      </c>
    </row>
    <row r="1254" spans="1:18" x14ac:dyDescent="0.3">
      <c r="A1254">
        <v>405</v>
      </c>
      <c r="B1254" t="s">
        <v>1126</v>
      </c>
      <c r="C1254" t="s">
        <v>1110</v>
      </c>
      <c r="D1254" t="s">
        <v>27</v>
      </c>
      <c r="E1254" t="s">
        <v>22</v>
      </c>
      <c r="F1254" s="79">
        <v>45473</v>
      </c>
      <c r="G1254">
        <v>2024</v>
      </c>
      <c r="H1254" t="s">
        <v>699</v>
      </c>
      <c r="I1254" t="s">
        <v>729</v>
      </c>
      <c r="J1254">
        <v>100</v>
      </c>
      <c r="K1254">
        <v>97.39</v>
      </c>
      <c r="L1254" s="39">
        <f t="shared" si="95"/>
        <v>0.97389999999999999</v>
      </c>
      <c r="M1254" s="39">
        <f t="shared" si="96"/>
        <v>0.97389999999999999</v>
      </c>
      <c r="P1254">
        <v>0</v>
      </c>
      <c r="Q1254">
        <v>0</v>
      </c>
      <c r="R1254" t="s">
        <v>2859</v>
      </c>
    </row>
    <row r="1255" spans="1:18" x14ac:dyDescent="0.3">
      <c r="A1255">
        <v>405</v>
      </c>
      <c r="B1255" t="s">
        <v>1126</v>
      </c>
      <c r="C1255" t="s">
        <v>1110</v>
      </c>
      <c r="D1255" t="s">
        <v>27</v>
      </c>
      <c r="E1255" t="s">
        <v>22</v>
      </c>
      <c r="F1255" s="79">
        <v>45657</v>
      </c>
      <c r="G1255">
        <v>2024</v>
      </c>
      <c r="H1255" t="s">
        <v>23</v>
      </c>
      <c r="I1255" t="s">
        <v>30</v>
      </c>
      <c r="J1255">
        <v>100</v>
      </c>
      <c r="K1255">
        <v>98</v>
      </c>
      <c r="L1255" s="39">
        <f t="shared" si="95"/>
        <v>0.98</v>
      </c>
      <c r="M1255" s="39">
        <f t="shared" si="96"/>
        <v>0.98</v>
      </c>
      <c r="P1255">
        <v>0</v>
      </c>
      <c r="Q1255">
        <v>0</v>
      </c>
      <c r="R1255" t="s">
        <v>1128</v>
      </c>
    </row>
    <row r="1256" spans="1:18" x14ac:dyDescent="0.3">
      <c r="A1256">
        <v>406</v>
      </c>
      <c r="B1256" t="s">
        <v>1129</v>
      </c>
      <c r="C1256" t="s">
        <v>819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5</v>
      </c>
      <c r="K1256">
        <v>5</v>
      </c>
      <c r="L1256" s="39">
        <f t="shared" si="95"/>
        <v>1</v>
      </c>
      <c r="M1256" s="39">
        <f t="shared" si="96"/>
        <v>1</v>
      </c>
      <c r="P1256">
        <v>0</v>
      </c>
      <c r="Q1256">
        <v>0</v>
      </c>
      <c r="R1256" t="s">
        <v>1130</v>
      </c>
    </row>
    <row r="1257" spans="1:18" x14ac:dyDescent="0.3">
      <c r="A1257">
        <v>406</v>
      </c>
      <c r="B1257" t="s">
        <v>1129</v>
      </c>
      <c r="C1257" t="s">
        <v>644</v>
      </c>
      <c r="D1257" t="s">
        <v>27</v>
      </c>
      <c r="E1257" t="s">
        <v>22</v>
      </c>
      <c r="F1257" s="79">
        <v>45473</v>
      </c>
      <c r="G1257">
        <v>2024</v>
      </c>
      <c r="H1257" t="s">
        <v>699</v>
      </c>
      <c r="I1257" t="s">
        <v>729</v>
      </c>
      <c r="J1257">
        <v>0</v>
      </c>
      <c r="K1257">
        <v>3</v>
      </c>
      <c r="L1257" s="39" t="str">
        <f t="shared" si="95"/>
        <v/>
      </c>
      <c r="M1257" s="39" t="str">
        <f t="shared" si="96"/>
        <v/>
      </c>
      <c r="P1257">
        <v>0</v>
      </c>
      <c r="Q1257">
        <v>0</v>
      </c>
      <c r="R1257" t="s">
        <v>2860</v>
      </c>
    </row>
    <row r="1258" spans="1:18" x14ac:dyDescent="0.3">
      <c r="A1258">
        <v>406</v>
      </c>
      <c r="B1258" t="s">
        <v>1129</v>
      </c>
      <c r="C1258" t="s">
        <v>644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0</v>
      </c>
      <c r="L1258" s="39"/>
      <c r="M1258" s="39"/>
      <c r="N1258" t="s">
        <v>128</v>
      </c>
      <c r="O1258" t="s">
        <v>1949</v>
      </c>
      <c r="P1258">
        <v>0</v>
      </c>
      <c r="Q1258">
        <v>0</v>
      </c>
      <c r="R1258" t="s">
        <v>1131</v>
      </c>
    </row>
    <row r="1259" spans="1:18" x14ac:dyDescent="0.3">
      <c r="A1259">
        <v>407</v>
      </c>
      <c r="B1259" t="s">
        <v>1132</v>
      </c>
      <c r="C1259" t="s">
        <v>819</v>
      </c>
      <c r="D1259" t="s">
        <v>27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J1259">
        <v>3</v>
      </c>
      <c r="K1259">
        <v>3</v>
      </c>
      <c r="L1259" s="39">
        <f>IFERROR(IF(OR(J1259=0,K1259=""),"",IF(E1259="Positivo",MIN(MAX(K1259/J1259,0),1.3),MIN(MAX(J1259/K1259,0),1.3))),"")</f>
        <v>1</v>
      </c>
      <c r="M1259" s="39">
        <f>IFERROR(IF(OR(J1259=0,K1259=""),"",IF(E1259="Positivo",MAX(K1259/J1259,0),MAX(J1259/K1259,0))),"")</f>
        <v>1</v>
      </c>
      <c r="P1259">
        <v>0</v>
      </c>
      <c r="Q1259">
        <v>0</v>
      </c>
      <c r="R1259" t="s">
        <v>1133</v>
      </c>
    </row>
    <row r="1260" spans="1:18" x14ac:dyDescent="0.3">
      <c r="A1260">
        <v>407</v>
      </c>
      <c r="B1260" t="s">
        <v>1132</v>
      </c>
      <c r="C1260" t="s">
        <v>644</v>
      </c>
      <c r="D1260" t="s">
        <v>27</v>
      </c>
      <c r="E1260" t="s">
        <v>22</v>
      </c>
      <c r="F1260" s="79">
        <v>45473</v>
      </c>
      <c r="G1260">
        <v>2024</v>
      </c>
      <c r="H1260" t="s">
        <v>699</v>
      </c>
      <c r="I1260" t="s">
        <v>729</v>
      </c>
      <c r="L1260" s="39"/>
      <c r="M1260" s="39"/>
      <c r="P1260">
        <v>0</v>
      </c>
      <c r="Q1260">
        <v>0</v>
      </c>
      <c r="R1260" t="s">
        <v>3260</v>
      </c>
    </row>
    <row r="1261" spans="1:18" x14ac:dyDescent="0.3">
      <c r="A1261">
        <v>407</v>
      </c>
      <c r="B1261" t="s">
        <v>1132</v>
      </c>
      <c r="C1261" t="s">
        <v>644</v>
      </c>
      <c r="D1261" t="s">
        <v>27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100</v>
      </c>
      <c r="L1261" s="39"/>
      <c r="M1261" s="39"/>
      <c r="N1261" t="s">
        <v>128</v>
      </c>
      <c r="O1261" t="s">
        <v>1949</v>
      </c>
      <c r="P1261">
        <v>0</v>
      </c>
      <c r="Q1261">
        <v>0</v>
      </c>
      <c r="R1261" t="s">
        <v>1134</v>
      </c>
    </row>
    <row r="1262" spans="1:18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45291</v>
      </c>
      <c r="G1262">
        <v>2023</v>
      </c>
      <c r="H1262" t="s">
        <v>23</v>
      </c>
      <c r="I1262" t="s">
        <v>28</v>
      </c>
      <c r="J1262">
        <v>100</v>
      </c>
      <c r="K1262">
        <v>100</v>
      </c>
      <c r="L1262" s="39">
        <f>IFERROR(IF(OR(J1262=0,K1262=""),"",IF(E1262="Positivo",MIN(MAX(K1262/J1262,0),1.3),MIN(MAX(J1262/K1262,0),1.3))),"")</f>
        <v>1</v>
      </c>
      <c r="M1262" s="39">
        <f>IFERROR(IF(OR(J1262=0,K1262=""),"",IF(E1262="Positivo",MAX(K1262/J1262,0),MAX(J1262/K1262,0))),"")</f>
        <v>1</v>
      </c>
      <c r="P1262">
        <v>0</v>
      </c>
      <c r="Q1262">
        <v>0</v>
      </c>
      <c r="R1262" t="s">
        <v>1136</v>
      </c>
    </row>
    <row r="1263" spans="1:18" x14ac:dyDescent="0.3">
      <c r="A1263">
        <v>408</v>
      </c>
      <c r="B1263" t="s">
        <v>1135</v>
      </c>
      <c r="C1263" t="s">
        <v>819</v>
      </c>
      <c r="D1263" t="s">
        <v>27</v>
      </c>
      <c r="E1263" t="s">
        <v>22</v>
      </c>
      <c r="F1263" s="79">
        <v>45473</v>
      </c>
      <c r="G1263">
        <v>2024</v>
      </c>
      <c r="H1263" t="s">
        <v>699</v>
      </c>
      <c r="I1263" t="s">
        <v>729</v>
      </c>
      <c r="J1263">
        <v>100</v>
      </c>
      <c r="L1263" s="39"/>
      <c r="M1263" s="39"/>
      <c r="P1263">
        <v>0</v>
      </c>
      <c r="Q1263">
        <v>0</v>
      </c>
      <c r="R1263" t="s">
        <v>2862</v>
      </c>
    </row>
    <row r="1264" spans="1:18" x14ac:dyDescent="0.3">
      <c r="A1264">
        <v>408</v>
      </c>
      <c r="B1264" t="s">
        <v>1135</v>
      </c>
      <c r="C1264" t="s">
        <v>819</v>
      </c>
      <c r="D1264" t="s">
        <v>27</v>
      </c>
      <c r="E1264" t="s">
        <v>22</v>
      </c>
      <c r="F1264" s="79">
        <v>45657</v>
      </c>
      <c r="G1264">
        <v>2024</v>
      </c>
      <c r="H1264" t="s">
        <v>23</v>
      </c>
      <c r="I1264" t="s">
        <v>30</v>
      </c>
      <c r="J1264">
        <v>100</v>
      </c>
      <c r="K1264">
        <v>100</v>
      </c>
      <c r="L1264" s="39">
        <f t="shared" ref="L1264:L1272" si="97">IFERROR(IF(OR(J1264=0,K1264=""),"",IF(E1264="Positivo",MIN(MAX(K1264/J1264,0),1.3),MIN(MAX(J1264/K1264,0),1.3))),"")</f>
        <v>1</v>
      </c>
      <c r="M1264" s="39">
        <f t="shared" ref="M1264:M1272" si="98">IFERROR(IF(OR(J1264=0,K1264=""),"",IF(E1264="Positivo",MAX(K1264/J1264,0),MAX(J1264/K1264,0))),"")</f>
        <v>1</v>
      </c>
      <c r="P1264">
        <v>0</v>
      </c>
      <c r="Q1264">
        <v>0</v>
      </c>
      <c r="R1264" t="s">
        <v>1137</v>
      </c>
    </row>
    <row r="1265" spans="1:18" x14ac:dyDescent="0.3">
      <c r="A1265">
        <v>408</v>
      </c>
      <c r="B1265" t="s">
        <v>1135</v>
      </c>
      <c r="C1265" t="s">
        <v>819</v>
      </c>
      <c r="D1265" t="s">
        <v>21</v>
      </c>
      <c r="E1265" t="s">
        <v>22</v>
      </c>
      <c r="F1265" s="79">
        <v>45838</v>
      </c>
      <c r="G1265">
        <v>2025</v>
      </c>
      <c r="H1265" t="s">
        <v>699</v>
      </c>
      <c r="I1265" t="s">
        <v>700</v>
      </c>
      <c r="J1265">
        <v>100</v>
      </c>
      <c r="K1265">
        <v>100</v>
      </c>
      <c r="L1265" s="39">
        <f t="shared" si="97"/>
        <v>1</v>
      </c>
      <c r="M1265" s="39">
        <f t="shared" si="98"/>
        <v>1</v>
      </c>
      <c r="N1265" t="s">
        <v>128</v>
      </c>
      <c r="O1265" t="s">
        <v>128</v>
      </c>
      <c r="P1265">
        <v>0</v>
      </c>
      <c r="Q1265">
        <v>0</v>
      </c>
      <c r="R1265" t="s">
        <v>2863</v>
      </c>
    </row>
    <row r="1266" spans="1:18" x14ac:dyDescent="0.3">
      <c r="A1266">
        <v>408</v>
      </c>
      <c r="B1266" t="s">
        <v>1135</v>
      </c>
      <c r="C1266" t="s">
        <v>819</v>
      </c>
      <c r="D1266" t="s">
        <v>21</v>
      </c>
      <c r="E1266" t="s">
        <v>22</v>
      </c>
      <c r="F1266" s="79">
        <v>46022</v>
      </c>
      <c r="G1266">
        <v>2025</v>
      </c>
      <c r="H1266" t="s">
        <v>23</v>
      </c>
      <c r="I1266" t="s">
        <v>32</v>
      </c>
      <c r="J1266">
        <v>100</v>
      </c>
      <c r="K1266">
        <v>100</v>
      </c>
      <c r="L1266" s="39">
        <f t="shared" si="97"/>
        <v>1</v>
      </c>
      <c r="M1266" s="39">
        <f t="shared" si="98"/>
        <v>1</v>
      </c>
      <c r="N1266" t="s">
        <v>128</v>
      </c>
      <c r="O1266" t="s">
        <v>128</v>
      </c>
      <c r="P1266">
        <v>0</v>
      </c>
      <c r="Q1266">
        <v>0</v>
      </c>
      <c r="R1266" t="s">
        <v>1138</v>
      </c>
    </row>
    <row r="1267" spans="1:18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45107</v>
      </c>
      <c r="G1267">
        <v>2023</v>
      </c>
      <c r="H1267" t="s">
        <v>699</v>
      </c>
      <c r="I1267" t="s">
        <v>1512</v>
      </c>
      <c r="J1267">
        <v>80</v>
      </c>
      <c r="K1267">
        <v>103.71885459278499</v>
      </c>
      <c r="L1267" s="39">
        <f t="shared" si="97"/>
        <v>1.2964856824098123</v>
      </c>
      <c r="M1267" s="39">
        <f t="shared" si="98"/>
        <v>1.2964856824098123</v>
      </c>
      <c r="N1267" t="s">
        <v>25</v>
      </c>
      <c r="O1267" t="s">
        <v>25</v>
      </c>
      <c r="P1267">
        <v>0</v>
      </c>
      <c r="Q1267">
        <v>0</v>
      </c>
      <c r="R1267" t="s">
        <v>2864</v>
      </c>
    </row>
    <row r="1268" spans="1:18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160</v>
      </c>
      <c r="K1268">
        <v>203.71885459278539</v>
      </c>
      <c r="L1268" s="39">
        <f t="shared" si="97"/>
        <v>1.2732428412049086</v>
      </c>
      <c r="M1268" s="39">
        <f t="shared" si="98"/>
        <v>1.2732428412049086</v>
      </c>
      <c r="N1268" t="s">
        <v>25</v>
      </c>
      <c r="O1268" t="s">
        <v>25</v>
      </c>
      <c r="P1268">
        <v>0</v>
      </c>
      <c r="Q1268">
        <v>0</v>
      </c>
      <c r="R1268" t="s">
        <v>1140</v>
      </c>
    </row>
    <row r="1269" spans="1:18" x14ac:dyDescent="0.3">
      <c r="A1269">
        <v>409</v>
      </c>
      <c r="B1269" t="s">
        <v>1139</v>
      </c>
      <c r="C1269" t="s">
        <v>595</v>
      </c>
      <c r="D1269" t="s">
        <v>21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190</v>
      </c>
      <c r="K1269">
        <v>196.51883947156031</v>
      </c>
      <c r="L1269" s="39">
        <f t="shared" si="97"/>
        <v>1.0343096814292647</v>
      </c>
      <c r="M1269" s="39">
        <f t="shared" si="98"/>
        <v>1.0343096814292647</v>
      </c>
      <c r="P1269">
        <v>0</v>
      </c>
      <c r="Q1269">
        <v>0</v>
      </c>
      <c r="R1269" t="s">
        <v>2867</v>
      </c>
    </row>
    <row r="1270" spans="1:18" x14ac:dyDescent="0.3">
      <c r="A1270">
        <v>409</v>
      </c>
      <c r="B1270" t="s">
        <v>1139</v>
      </c>
      <c r="C1270" t="s">
        <v>595</v>
      </c>
      <c r="D1270" t="s">
        <v>21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190</v>
      </c>
      <c r="K1270">
        <v>193.57962905038281</v>
      </c>
      <c r="L1270" s="39">
        <f t="shared" si="97"/>
        <v>1.0188401528967517</v>
      </c>
      <c r="M1270" s="39">
        <f t="shared" si="98"/>
        <v>1.0188401528967517</v>
      </c>
      <c r="P1270">
        <v>0</v>
      </c>
      <c r="Q1270">
        <v>0</v>
      </c>
      <c r="R1270" t="s">
        <v>1141</v>
      </c>
    </row>
    <row r="1271" spans="1:18" x14ac:dyDescent="0.3">
      <c r="A1271">
        <v>409</v>
      </c>
      <c r="B1271" t="s">
        <v>1139</v>
      </c>
      <c r="C1271" t="s">
        <v>595</v>
      </c>
      <c r="D1271" t="s">
        <v>27</v>
      </c>
      <c r="E1271" t="s">
        <v>22</v>
      </c>
      <c r="F1271" s="79">
        <v>45838</v>
      </c>
      <c r="G1271">
        <v>2025</v>
      </c>
      <c r="H1271" t="s">
        <v>699</v>
      </c>
      <c r="I1271" t="s">
        <v>700</v>
      </c>
      <c r="J1271">
        <v>95</v>
      </c>
      <c r="K1271">
        <v>100</v>
      </c>
      <c r="L1271" s="39">
        <f t="shared" si="97"/>
        <v>1.0526315789473684</v>
      </c>
      <c r="M1271" s="39">
        <f t="shared" si="98"/>
        <v>1.0526315789473684</v>
      </c>
      <c r="N1271" t="s">
        <v>25</v>
      </c>
      <c r="O1271" t="s">
        <v>25</v>
      </c>
      <c r="P1271">
        <v>0</v>
      </c>
      <c r="Q1271">
        <v>0</v>
      </c>
      <c r="R1271" t="s">
        <v>1142</v>
      </c>
    </row>
    <row r="1272" spans="1:18" x14ac:dyDescent="0.3">
      <c r="A1272">
        <v>410</v>
      </c>
      <c r="B1272" t="s">
        <v>1143</v>
      </c>
      <c r="C1272" t="s">
        <v>595</v>
      </c>
      <c r="D1272" t="s">
        <v>21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90</v>
      </c>
      <c r="K1272">
        <v>100</v>
      </c>
      <c r="L1272" s="39">
        <f t="shared" si="97"/>
        <v>1.1111111111111112</v>
      </c>
      <c r="M1272" s="39">
        <f t="shared" si="98"/>
        <v>1.1111111111111112</v>
      </c>
      <c r="N1272" t="s">
        <v>25</v>
      </c>
      <c r="O1272" t="s">
        <v>25</v>
      </c>
      <c r="P1272">
        <v>0</v>
      </c>
      <c r="Q1272">
        <v>0</v>
      </c>
      <c r="R1272" t="s">
        <v>1144</v>
      </c>
    </row>
    <row r="1273" spans="1:18" x14ac:dyDescent="0.3">
      <c r="A1273">
        <v>411</v>
      </c>
      <c r="B1273" t="s">
        <v>1145</v>
      </c>
      <c r="C1273" t="s">
        <v>1078</v>
      </c>
      <c r="D1273" t="s">
        <v>27</v>
      </c>
      <c r="E1273" t="s">
        <v>22</v>
      </c>
      <c r="F1273" s="79">
        <v>45107</v>
      </c>
      <c r="G1273">
        <v>2023</v>
      </c>
      <c r="H1273" t="s">
        <v>699</v>
      </c>
      <c r="I1273" t="s">
        <v>1512</v>
      </c>
      <c r="P1273">
        <v>0</v>
      </c>
      <c r="Q1273">
        <v>0</v>
      </c>
      <c r="R1273" t="s">
        <v>3261</v>
      </c>
    </row>
    <row r="1274" spans="1:18" x14ac:dyDescent="0.3">
      <c r="A1274">
        <v>411</v>
      </c>
      <c r="B1274" t="s">
        <v>1145</v>
      </c>
      <c r="C1274" t="s">
        <v>1078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N1274" t="s">
        <v>25</v>
      </c>
      <c r="O1274" t="s">
        <v>25</v>
      </c>
      <c r="P1274">
        <v>0</v>
      </c>
      <c r="Q1274">
        <v>0</v>
      </c>
      <c r="R1274" t="s">
        <v>1146</v>
      </c>
    </row>
    <row r="1275" spans="1:18" x14ac:dyDescent="0.3">
      <c r="A1275">
        <v>412</v>
      </c>
      <c r="B1275" t="s">
        <v>1147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100</v>
      </c>
      <c r="K1275">
        <v>100</v>
      </c>
      <c r="L1275" s="39">
        <f>IFERROR(IF(OR(J1275=0,K1275=""),"",IF(E1275="Positivo",MIN(MAX(K1275/J1275,0),1.3),MIN(MAX(J1275/K1275,0),1.3))),"")</f>
        <v>1</v>
      </c>
      <c r="M1275" s="39">
        <f>IFERROR(IF(OR(J1275=0,K1275=""),"",IF(E1275="Positivo",MAX(K1275/J1275,0),MAX(J1275/K1275,0))),"")</f>
        <v>1</v>
      </c>
      <c r="N1275" t="s">
        <v>25</v>
      </c>
      <c r="O1275" t="s">
        <v>25</v>
      </c>
      <c r="P1275">
        <v>0</v>
      </c>
      <c r="Q1275">
        <v>0</v>
      </c>
      <c r="R1275" t="s">
        <v>1148</v>
      </c>
    </row>
    <row r="1276" spans="1:18" x14ac:dyDescent="0.3">
      <c r="A1276">
        <v>412</v>
      </c>
      <c r="B1276" t="s">
        <v>1149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>IFERROR(IF(OR(J1276=0,K1276=""),"",IF(E1276="Positivo",MAX(K1276/J1276,0),MAX(J1276/K1276,0))),"")</f>
        <v>1</v>
      </c>
      <c r="P1276">
        <v>0</v>
      </c>
      <c r="Q1276">
        <v>0</v>
      </c>
      <c r="R1276" t="s">
        <v>1150</v>
      </c>
    </row>
    <row r="1277" spans="1:18" x14ac:dyDescent="0.3">
      <c r="A1277">
        <v>413</v>
      </c>
      <c r="B1277" t="s">
        <v>1151</v>
      </c>
      <c r="C1277" t="s">
        <v>1078</v>
      </c>
      <c r="D1277" t="s">
        <v>71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K1277">
        <v>100</v>
      </c>
      <c r="L1277" s="39"/>
      <c r="M1277" s="39"/>
      <c r="N1277" t="s">
        <v>3246</v>
      </c>
      <c r="P1277">
        <v>0</v>
      </c>
      <c r="Q1277">
        <v>0</v>
      </c>
      <c r="R1277" t="s">
        <v>1152</v>
      </c>
    </row>
    <row r="1278" spans="1:18" x14ac:dyDescent="0.3">
      <c r="A1278">
        <v>413</v>
      </c>
      <c r="B1278" t="s">
        <v>1153</v>
      </c>
      <c r="C1278" t="s">
        <v>1078</v>
      </c>
      <c r="D1278" t="s">
        <v>71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100</v>
      </c>
      <c r="K1278">
        <v>100</v>
      </c>
      <c r="L1278" s="39">
        <f>IFERROR(IF(OR(J1278=0,K1278=""),"",IF(E1278="Positivo",MIN(MAX(K1278/J1278,0),1.3),MIN(MAX(J1278/K1278,0),1.3))),"")</f>
        <v>1</v>
      </c>
      <c r="M1278" s="39">
        <f t="shared" ref="M1278:M1319" si="99">IFERROR(IF(OR(J1278=0,K1278=""),"",IF(E1278="Positivo",MAX(K1278/J1278,0),MAX(J1278/K1278,0))),"")</f>
        <v>1</v>
      </c>
      <c r="P1278">
        <v>0</v>
      </c>
      <c r="Q1278">
        <v>0</v>
      </c>
      <c r="R1278" t="s">
        <v>1154</v>
      </c>
    </row>
    <row r="1279" spans="1:18" x14ac:dyDescent="0.3">
      <c r="A1279">
        <v>413</v>
      </c>
      <c r="B1279" t="s">
        <v>1153</v>
      </c>
      <c r="C1279" t="s">
        <v>1078</v>
      </c>
      <c r="D1279" t="s">
        <v>71</v>
      </c>
      <c r="E1279" t="s">
        <v>22</v>
      </c>
      <c r="F1279" s="79">
        <v>46022</v>
      </c>
      <c r="G1279">
        <v>2025</v>
      </c>
      <c r="H1279" t="s">
        <v>23</v>
      </c>
      <c r="I1279" t="s">
        <v>32</v>
      </c>
      <c r="J1279">
        <v>100</v>
      </c>
      <c r="K1279">
        <v>100</v>
      </c>
      <c r="L1279" s="39">
        <f>IFERROR(IF(OR(J1279=0,K1279=""),"",IF(E1279="Positivo",MIN(MAX(K1279/J1279,0),1.3),MIN(MAX(J1279/K1279,0),1.3))),"")</f>
        <v>1</v>
      </c>
      <c r="M1279" s="39">
        <f t="shared" si="99"/>
        <v>1</v>
      </c>
      <c r="N1279" t="s">
        <v>355</v>
      </c>
      <c r="O1279" t="s">
        <v>128</v>
      </c>
      <c r="P1279">
        <v>0</v>
      </c>
      <c r="Q1279">
        <v>0</v>
      </c>
      <c r="R1279" t="s">
        <v>1155</v>
      </c>
    </row>
    <row r="1280" spans="1:18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45016</v>
      </c>
      <c r="G1280">
        <v>2023</v>
      </c>
      <c r="H1280" t="s">
        <v>1516</v>
      </c>
      <c r="I1280" t="s">
        <v>1512</v>
      </c>
      <c r="J1280">
        <v>100</v>
      </c>
      <c r="K1280">
        <v>0</v>
      </c>
      <c r="L1280" s="39">
        <f t="shared" ref="L1280:L1319" si="100">IFERROR(IF(OR(J1280=0,K1280=""),"",IF(E1280="Positivo",MIN(MAX(K1280/J1280,0),1),MIN(MAX(J1280/K1280,0),1))),"")</f>
        <v>0</v>
      </c>
      <c r="M1280" s="39">
        <f t="shared" si="99"/>
        <v>0</v>
      </c>
      <c r="P1280">
        <v>0</v>
      </c>
      <c r="Q1280">
        <v>0</v>
      </c>
      <c r="R1280" t="s">
        <v>2871</v>
      </c>
    </row>
    <row r="1281" spans="1:18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45107</v>
      </c>
      <c r="G1281">
        <v>2023</v>
      </c>
      <c r="H1281" t="s">
        <v>699</v>
      </c>
      <c r="I1281" t="s">
        <v>1512</v>
      </c>
      <c r="J1281">
        <v>100</v>
      </c>
      <c r="K1281">
        <v>110.01</v>
      </c>
      <c r="L1281" s="39">
        <f t="shared" si="100"/>
        <v>1</v>
      </c>
      <c r="M1281" s="39">
        <f t="shared" si="99"/>
        <v>1.1001000000000001</v>
      </c>
      <c r="P1281">
        <v>0</v>
      </c>
      <c r="Q1281">
        <v>0</v>
      </c>
      <c r="R1281" t="s">
        <v>2872</v>
      </c>
    </row>
    <row r="1282" spans="1:18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45199</v>
      </c>
      <c r="G1282">
        <v>2023</v>
      </c>
      <c r="H1282" t="s">
        <v>162</v>
      </c>
      <c r="I1282" t="s">
        <v>28</v>
      </c>
      <c r="J1282">
        <v>100</v>
      </c>
      <c r="K1282">
        <v>93.54</v>
      </c>
      <c r="L1282" s="39">
        <f t="shared" si="100"/>
        <v>0.93540000000000001</v>
      </c>
      <c r="M1282" s="39">
        <f t="shared" si="99"/>
        <v>0.93540000000000001</v>
      </c>
      <c r="P1282">
        <v>0</v>
      </c>
      <c r="Q1282">
        <v>0</v>
      </c>
      <c r="R1282" t="s">
        <v>2873</v>
      </c>
    </row>
    <row r="1283" spans="1:18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96.28</v>
      </c>
      <c r="L1283" s="39">
        <f t="shared" si="100"/>
        <v>0.96279999999999999</v>
      </c>
      <c r="M1283" s="39">
        <f t="shared" si="99"/>
        <v>0.96279999999999999</v>
      </c>
      <c r="P1283">
        <v>0</v>
      </c>
      <c r="Q1283">
        <v>0</v>
      </c>
      <c r="R1283" t="s">
        <v>1157</v>
      </c>
    </row>
    <row r="1284" spans="1:18" x14ac:dyDescent="0.3">
      <c r="A1284">
        <v>414</v>
      </c>
      <c r="B1284" t="s">
        <v>1156</v>
      </c>
      <c r="C1284" t="s">
        <v>567</v>
      </c>
      <c r="D1284" t="s">
        <v>21</v>
      </c>
      <c r="E1284" t="s">
        <v>22</v>
      </c>
      <c r="F1284" s="79">
        <v>45473</v>
      </c>
      <c r="G1284">
        <v>2024</v>
      </c>
      <c r="H1284" t="s">
        <v>699</v>
      </c>
      <c r="I1284" t="s">
        <v>729</v>
      </c>
      <c r="J1284">
        <v>100</v>
      </c>
      <c r="K1284">
        <v>100.06</v>
      </c>
      <c r="L1284" s="39">
        <f t="shared" si="100"/>
        <v>1</v>
      </c>
      <c r="M1284" s="39">
        <f t="shared" si="99"/>
        <v>1.0005999999999999</v>
      </c>
      <c r="P1284">
        <v>0</v>
      </c>
      <c r="Q1284">
        <v>0</v>
      </c>
      <c r="R1284" t="s">
        <v>2875</v>
      </c>
    </row>
    <row r="1285" spans="1:18" x14ac:dyDescent="0.3">
      <c r="A1285">
        <v>414</v>
      </c>
      <c r="B1285" t="s">
        <v>1156</v>
      </c>
      <c r="C1285" t="s">
        <v>567</v>
      </c>
      <c r="D1285" t="s">
        <v>21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98.78</v>
      </c>
      <c r="L1285" s="39">
        <f t="shared" si="100"/>
        <v>0.98780000000000001</v>
      </c>
      <c r="M1285" s="39">
        <f t="shared" si="99"/>
        <v>0.98780000000000001</v>
      </c>
      <c r="P1285">
        <v>0</v>
      </c>
      <c r="Q1285">
        <v>0</v>
      </c>
      <c r="R1285" t="s">
        <v>1158</v>
      </c>
    </row>
    <row r="1286" spans="1:18" x14ac:dyDescent="0.3">
      <c r="A1286">
        <v>414</v>
      </c>
      <c r="B1286" t="s">
        <v>1156</v>
      </c>
      <c r="C1286" t="s">
        <v>567</v>
      </c>
      <c r="D1286" t="s">
        <v>27</v>
      </c>
      <c r="E1286" t="s">
        <v>22</v>
      </c>
      <c r="F1286" s="79">
        <v>45838</v>
      </c>
      <c r="G1286">
        <v>2025</v>
      </c>
      <c r="H1286" t="s">
        <v>699</v>
      </c>
      <c r="I1286" t="s">
        <v>700</v>
      </c>
      <c r="J1286">
        <v>100</v>
      </c>
      <c r="K1286">
        <v>108.55</v>
      </c>
      <c r="L1286" s="39">
        <f t="shared" si="100"/>
        <v>1</v>
      </c>
      <c r="M1286" s="39">
        <f t="shared" si="99"/>
        <v>1.0854999999999999</v>
      </c>
      <c r="N1286" t="s">
        <v>25</v>
      </c>
      <c r="O1286" t="s">
        <v>25</v>
      </c>
      <c r="P1286">
        <v>0</v>
      </c>
      <c r="Q1286">
        <v>0</v>
      </c>
      <c r="R1286" t="s">
        <v>2878</v>
      </c>
    </row>
    <row r="1287" spans="1:18" x14ac:dyDescent="0.3">
      <c r="A1287">
        <v>414</v>
      </c>
      <c r="B1287" t="s">
        <v>1156</v>
      </c>
      <c r="C1287" t="s">
        <v>567</v>
      </c>
      <c r="D1287" t="s">
        <v>27</v>
      </c>
      <c r="E1287" t="s">
        <v>22</v>
      </c>
      <c r="F1287" s="79">
        <v>46022</v>
      </c>
      <c r="G1287">
        <v>2025</v>
      </c>
      <c r="H1287" t="s">
        <v>23</v>
      </c>
      <c r="I1287" t="s">
        <v>32</v>
      </c>
      <c r="J1287">
        <v>100</v>
      </c>
      <c r="K1287">
        <v>98.87</v>
      </c>
      <c r="L1287" s="39">
        <f t="shared" si="100"/>
        <v>0.98870000000000002</v>
      </c>
      <c r="M1287" s="39">
        <f t="shared" si="99"/>
        <v>0.98870000000000002</v>
      </c>
      <c r="N1287" t="s">
        <v>25</v>
      </c>
      <c r="O1287" t="s">
        <v>25</v>
      </c>
      <c r="P1287">
        <v>0</v>
      </c>
      <c r="Q1287">
        <v>0</v>
      </c>
      <c r="R1287" t="s">
        <v>1159</v>
      </c>
    </row>
    <row r="1288" spans="1:18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45016</v>
      </c>
      <c r="G1288">
        <v>2023</v>
      </c>
      <c r="H1288" t="s">
        <v>1516</v>
      </c>
      <c r="I1288" t="s">
        <v>1512</v>
      </c>
      <c r="J1288">
        <v>100</v>
      </c>
      <c r="K1288">
        <v>0</v>
      </c>
      <c r="L1288" s="39">
        <f t="shared" si="100"/>
        <v>0</v>
      </c>
      <c r="M1288" s="39">
        <f t="shared" si="99"/>
        <v>0</v>
      </c>
      <c r="P1288">
        <v>0</v>
      </c>
      <c r="Q1288">
        <v>0</v>
      </c>
      <c r="R1288" t="s">
        <v>2880</v>
      </c>
    </row>
    <row r="1289" spans="1:18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45107</v>
      </c>
      <c r="G1289">
        <v>2023</v>
      </c>
      <c r="H1289" t="s">
        <v>699</v>
      </c>
      <c r="I1289" t="s">
        <v>1512</v>
      </c>
      <c r="J1289">
        <v>100</v>
      </c>
      <c r="K1289">
        <v>94.04</v>
      </c>
      <c r="L1289" s="39">
        <f t="shared" si="100"/>
        <v>0.94040000000000001</v>
      </c>
      <c r="M1289" s="39">
        <f t="shared" si="99"/>
        <v>0.94040000000000001</v>
      </c>
      <c r="P1289">
        <v>0</v>
      </c>
      <c r="Q1289">
        <v>0</v>
      </c>
      <c r="R1289" t="s">
        <v>2881</v>
      </c>
    </row>
    <row r="1290" spans="1:18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45199</v>
      </c>
      <c r="G1290">
        <v>2023</v>
      </c>
      <c r="H1290" t="s">
        <v>162</v>
      </c>
      <c r="I1290" t="s">
        <v>28</v>
      </c>
      <c r="J1290">
        <v>100</v>
      </c>
      <c r="K1290">
        <v>93.94</v>
      </c>
      <c r="L1290" s="39">
        <f t="shared" si="100"/>
        <v>0.93940000000000001</v>
      </c>
      <c r="M1290" s="39">
        <f t="shared" si="99"/>
        <v>0.93940000000000001</v>
      </c>
      <c r="P1290">
        <v>0</v>
      </c>
      <c r="Q1290">
        <v>0</v>
      </c>
      <c r="R1290" t="s">
        <v>2882</v>
      </c>
    </row>
    <row r="1291" spans="1:18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45291</v>
      </c>
      <c r="G1291">
        <v>2023</v>
      </c>
      <c r="H1291" t="s">
        <v>23</v>
      </c>
      <c r="I1291" t="s">
        <v>28</v>
      </c>
      <c r="J1291">
        <v>100</v>
      </c>
      <c r="K1291">
        <v>96</v>
      </c>
      <c r="L1291" s="39">
        <f t="shared" si="100"/>
        <v>0.96</v>
      </c>
      <c r="M1291" s="39">
        <f t="shared" si="99"/>
        <v>0.96</v>
      </c>
      <c r="P1291">
        <v>0</v>
      </c>
      <c r="Q1291">
        <v>0</v>
      </c>
      <c r="R1291" t="s">
        <v>1161</v>
      </c>
    </row>
    <row r="1292" spans="1:18" x14ac:dyDescent="0.3">
      <c r="A1292">
        <v>415</v>
      </c>
      <c r="B1292" t="s">
        <v>1160</v>
      </c>
      <c r="C1292" t="s">
        <v>567</v>
      </c>
      <c r="D1292" t="s">
        <v>21</v>
      </c>
      <c r="E1292" t="s">
        <v>22</v>
      </c>
      <c r="F1292" s="79">
        <v>45473</v>
      </c>
      <c r="G1292">
        <v>2024</v>
      </c>
      <c r="H1292" t="s">
        <v>699</v>
      </c>
      <c r="I1292" t="s">
        <v>729</v>
      </c>
      <c r="J1292">
        <v>100</v>
      </c>
      <c r="K1292">
        <v>93.04</v>
      </c>
      <c r="L1292" s="39">
        <f t="shared" si="100"/>
        <v>0.93040000000000012</v>
      </c>
      <c r="M1292" s="39">
        <f t="shared" si="99"/>
        <v>0.93040000000000012</v>
      </c>
      <c r="P1292">
        <v>0</v>
      </c>
      <c r="Q1292">
        <v>0</v>
      </c>
      <c r="R1292" t="s">
        <v>2884</v>
      </c>
    </row>
    <row r="1293" spans="1:18" x14ac:dyDescent="0.3">
      <c r="A1293">
        <v>415</v>
      </c>
      <c r="B1293" t="s">
        <v>1160</v>
      </c>
      <c r="C1293" t="s">
        <v>567</v>
      </c>
      <c r="D1293" t="s">
        <v>21</v>
      </c>
      <c r="E1293" t="s">
        <v>22</v>
      </c>
      <c r="F1293" s="79">
        <v>45657</v>
      </c>
      <c r="G1293">
        <v>2024</v>
      </c>
      <c r="H1293" t="s">
        <v>23</v>
      </c>
      <c r="I1293" t="s">
        <v>30</v>
      </c>
      <c r="J1293">
        <v>100</v>
      </c>
      <c r="K1293">
        <v>98.36</v>
      </c>
      <c r="L1293" s="39">
        <f t="shared" si="100"/>
        <v>0.98360000000000003</v>
      </c>
      <c r="M1293" s="39">
        <f t="shared" si="99"/>
        <v>0.98360000000000003</v>
      </c>
      <c r="P1293">
        <v>0</v>
      </c>
      <c r="Q1293">
        <v>0</v>
      </c>
      <c r="R1293" t="s">
        <v>1162</v>
      </c>
    </row>
    <row r="1294" spans="1:18" x14ac:dyDescent="0.3">
      <c r="A1294">
        <v>415</v>
      </c>
      <c r="B1294" t="s">
        <v>1160</v>
      </c>
      <c r="C1294" t="s">
        <v>567</v>
      </c>
      <c r="D1294" t="s">
        <v>27</v>
      </c>
      <c r="E1294" t="s">
        <v>22</v>
      </c>
      <c r="F1294" s="79">
        <v>45838</v>
      </c>
      <c r="G1294">
        <v>2025</v>
      </c>
      <c r="H1294" t="s">
        <v>699</v>
      </c>
      <c r="I1294" t="s">
        <v>700</v>
      </c>
      <c r="J1294">
        <v>100</v>
      </c>
      <c r="K1294">
        <v>96.44</v>
      </c>
      <c r="L1294" s="39">
        <f t="shared" si="100"/>
        <v>0.96439999999999992</v>
      </c>
      <c r="M1294" s="39">
        <f t="shared" si="99"/>
        <v>0.96439999999999992</v>
      </c>
      <c r="N1294" t="s">
        <v>25</v>
      </c>
      <c r="O1294" t="s">
        <v>25</v>
      </c>
      <c r="P1294">
        <v>0</v>
      </c>
      <c r="Q1294">
        <v>0</v>
      </c>
      <c r="R1294" t="s">
        <v>2887</v>
      </c>
    </row>
    <row r="1295" spans="1:18" x14ac:dyDescent="0.3">
      <c r="A1295">
        <v>415</v>
      </c>
      <c r="B1295" t="s">
        <v>1160</v>
      </c>
      <c r="C1295" t="s">
        <v>567</v>
      </c>
      <c r="D1295" t="s">
        <v>27</v>
      </c>
      <c r="E1295" t="s">
        <v>22</v>
      </c>
      <c r="F1295" s="79">
        <v>46022</v>
      </c>
      <c r="G1295">
        <v>2025</v>
      </c>
      <c r="H1295" t="s">
        <v>23</v>
      </c>
      <c r="I1295" t="s">
        <v>32</v>
      </c>
      <c r="J1295">
        <v>100</v>
      </c>
      <c r="K1295">
        <v>99.3</v>
      </c>
      <c r="L1295" s="39">
        <f t="shared" si="100"/>
        <v>0.99299999999999999</v>
      </c>
      <c r="M1295" s="39">
        <f t="shared" si="99"/>
        <v>0.99299999999999999</v>
      </c>
      <c r="N1295" t="s">
        <v>25</v>
      </c>
      <c r="O1295" t="s">
        <v>25</v>
      </c>
      <c r="P1295">
        <v>0</v>
      </c>
      <c r="Q1295">
        <v>0</v>
      </c>
      <c r="R1295" t="s">
        <v>1163</v>
      </c>
    </row>
    <row r="1296" spans="1:18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45016</v>
      </c>
      <c r="G1296">
        <v>2023</v>
      </c>
      <c r="H1296" t="s">
        <v>1516</v>
      </c>
      <c r="I1296" t="s">
        <v>1512</v>
      </c>
      <c r="J1296">
        <v>100</v>
      </c>
      <c r="K1296">
        <v>0</v>
      </c>
      <c r="L1296" s="39">
        <f t="shared" si="100"/>
        <v>0</v>
      </c>
      <c r="M1296" s="39">
        <f t="shared" si="99"/>
        <v>0</v>
      </c>
      <c r="P1296">
        <v>0</v>
      </c>
      <c r="Q1296">
        <v>0</v>
      </c>
      <c r="R1296" t="s">
        <v>2889</v>
      </c>
    </row>
    <row r="1297" spans="1:18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45107</v>
      </c>
      <c r="G1297">
        <v>2023</v>
      </c>
      <c r="H1297" t="s">
        <v>699</v>
      </c>
      <c r="I1297" t="s">
        <v>1512</v>
      </c>
      <c r="J1297">
        <v>100</v>
      </c>
      <c r="K1297">
        <v>95.74</v>
      </c>
      <c r="L1297" s="39">
        <f t="shared" si="100"/>
        <v>0.95739999999999992</v>
      </c>
      <c r="M1297" s="39">
        <f t="shared" si="99"/>
        <v>0.95739999999999992</v>
      </c>
      <c r="P1297">
        <v>0</v>
      </c>
      <c r="Q1297">
        <v>0</v>
      </c>
      <c r="R1297" t="s">
        <v>2890</v>
      </c>
    </row>
    <row r="1298" spans="1:18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45199</v>
      </c>
      <c r="G1298">
        <v>2023</v>
      </c>
      <c r="H1298" t="s">
        <v>162</v>
      </c>
      <c r="I1298" t="s">
        <v>28</v>
      </c>
      <c r="J1298">
        <v>100</v>
      </c>
      <c r="K1298">
        <v>87.94</v>
      </c>
      <c r="L1298" s="39">
        <f t="shared" si="100"/>
        <v>0.87939999999999996</v>
      </c>
      <c r="M1298" s="39">
        <f t="shared" si="99"/>
        <v>0.87939999999999996</v>
      </c>
      <c r="P1298">
        <v>0</v>
      </c>
      <c r="Q1298">
        <v>0</v>
      </c>
      <c r="R1298" t="s">
        <v>2891</v>
      </c>
    </row>
    <row r="1299" spans="1:18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J1299">
        <v>100</v>
      </c>
      <c r="K1299">
        <v>98</v>
      </c>
      <c r="L1299" s="39">
        <f t="shared" si="100"/>
        <v>0.98</v>
      </c>
      <c r="M1299" s="39">
        <f t="shared" si="99"/>
        <v>0.98</v>
      </c>
      <c r="P1299">
        <v>0</v>
      </c>
      <c r="Q1299">
        <v>0</v>
      </c>
      <c r="R1299" t="s">
        <v>1165</v>
      </c>
    </row>
    <row r="1300" spans="1:18" x14ac:dyDescent="0.3">
      <c r="A1300">
        <v>416</v>
      </c>
      <c r="B1300" t="s">
        <v>1164</v>
      </c>
      <c r="C1300" t="s">
        <v>567</v>
      </c>
      <c r="D1300" t="s">
        <v>21</v>
      </c>
      <c r="E1300" t="s">
        <v>22</v>
      </c>
      <c r="F1300" s="79">
        <v>45473</v>
      </c>
      <c r="G1300">
        <v>2024</v>
      </c>
      <c r="H1300" t="s">
        <v>699</v>
      </c>
      <c r="I1300" t="s">
        <v>729</v>
      </c>
      <c r="J1300">
        <v>100</v>
      </c>
      <c r="K1300">
        <v>117.1</v>
      </c>
      <c r="L1300" s="39">
        <f t="shared" si="100"/>
        <v>1</v>
      </c>
      <c r="M1300" s="39">
        <f t="shared" si="99"/>
        <v>1.171</v>
      </c>
      <c r="P1300">
        <v>0</v>
      </c>
      <c r="Q1300">
        <v>0</v>
      </c>
      <c r="R1300" t="s">
        <v>2893</v>
      </c>
    </row>
    <row r="1301" spans="1:18" x14ac:dyDescent="0.3">
      <c r="A1301">
        <v>416</v>
      </c>
      <c r="B1301" t="s">
        <v>1164</v>
      </c>
      <c r="C1301" t="s">
        <v>567</v>
      </c>
      <c r="D1301" t="s">
        <v>21</v>
      </c>
      <c r="E1301" t="s">
        <v>22</v>
      </c>
      <c r="F1301" s="79">
        <v>45657</v>
      </c>
      <c r="G1301">
        <v>2024</v>
      </c>
      <c r="H1301" t="s">
        <v>23</v>
      </c>
      <c r="I1301" t="s">
        <v>30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P1301">
        <v>0</v>
      </c>
      <c r="Q1301">
        <v>0</v>
      </c>
      <c r="R1301" t="s">
        <v>1166</v>
      </c>
    </row>
    <row r="1302" spans="1:18" x14ac:dyDescent="0.3">
      <c r="A1302">
        <v>416</v>
      </c>
      <c r="B1302" t="s">
        <v>1164</v>
      </c>
      <c r="C1302" t="s">
        <v>567</v>
      </c>
      <c r="D1302" t="s">
        <v>27</v>
      </c>
      <c r="E1302" t="s">
        <v>22</v>
      </c>
      <c r="F1302" s="79">
        <v>45838</v>
      </c>
      <c r="G1302">
        <v>2025</v>
      </c>
      <c r="H1302" t="s">
        <v>699</v>
      </c>
      <c r="I1302" t="s">
        <v>700</v>
      </c>
      <c r="J1302">
        <v>100</v>
      </c>
      <c r="K1302">
        <v>109.24</v>
      </c>
      <c r="L1302" s="39">
        <f t="shared" si="100"/>
        <v>1</v>
      </c>
      <c r="M1302" s="39">
        <f t="shared" si="99"/>
        <v>1.0924</v>
      </c>
      <c r="N1302" t="s">
        <v>25</v>
      </c>
      <c r="O1302" t="s">
        <v>25</v>
      </c>
      <c r="P1302">
        <v>0</v>
      </c>
      <c r="Q1302">
        <v>0</v>
      </c>
      <c r="R1302" t="s">
        <v>2896</v>
      </c>
    </row>
    <row r="1303" spans="1:18" x14ac:dyDescent="0.3">
      <c r="A1303">
        <v>416</v>
      </c>
      <c r="B1303" t="s">
        <v>1164</v>
      </c>
      <c r="C1303" t="s">
        <v>567</v>
      </c>
      <c r="D1303" t="s">
        <v>27</v>
      </c>
      <c r="E1303" t="s">
        <v>22</v>
      </c>
      <c r="F1303" s="79">
        <v>46022</v>
      </c>
      <c r="G1303">
        <v>2025</v>
      </c>
      <c r="H1303" t="s">
        <v>23</v>
      </c>
      <c r="I1303" t="s">
        <v>32</v>
      </c>
      <c r="J1303">
        <v>100</v>
      </c>
      <c r="K1303">
        <v>100</v>
      </c>
      <c r="L1303" s="39">
        <f t="shared" si="100"/>
        <v>1</v>
      </c>
      <c r="M1303" s="39">
        <f t="shared" si="99"/>
        <v>1</v>
      </c>
      <c r="N1303" t="s">
        <v>25</v>
      </c>
      <c r="O1303" t="s">
        <v>25</v>
      </c>
      <c r="P1303">
        <v>0</v>
      </c>
      <c r="Q1303">
        <v>0</v>
      </c>
      <c r="R1303" t="s">
        <v>1167</v>
      </c>
    </row>
    <row r="1304" spans="1:18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45016</v>
      </c>
      <c r="G1304">
        <v>2023</v>
      </c>
      <c r="H1304" t="s">
        <v>1516</v>
      </c>
      <c r="I1304" t="s">
        <v>1512</v>
      </c>
      <c r="J1304">
        <v>100</v>
      </c>
      <c r="K1304">
        <v>0</v>
      </c>
      <c r="L1304" s="39">
        <f t="shared" si="100"/>
        <v>0</v>
      </c>
      <c r="M1304" s="39">
        <f t="shared" si="99"/>
        <v>0</v>
      </c>
      <c r="P1304">
        <v>0</v>
      </c>
      <c r="Q1304">
        <v>0</v>
      </c>
      <c r="R1304" t="s">
        <v>2898</v>
      </c>
    </row>
    <row r="1305" spans="1:18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45107</v>
      </c>
      <c r="G1305">
        <v>2023</v>
      </c>
      <c r="H1305" t="s">
        <v>699</v>
      </c>
      <c r="I1305" t="s">
        <v>1512</v>
      </c>
      <c r="J1305">
        <v>100</v>
      </c>
      <c r="K1305">
        <v>110.66833333333</v>
      </c>
      <c r="L1305" s="39">
        <f t="shared" si="100"/>
        <v>1</v>
      </c>
      <c r="M1305" s="39">
        <f t="shared" si="99"/>
        <v>1.1066833333332999</v>
      </c>
      <c r="P1305">
        <v>0</v>
      </c>
      <c r="Q1305">
        <v>0</v>
      </c>
      <c r="R1305" t="s">
        <v>2899</v>
      </c>
    </row>
    <row r="1306" spans="1:18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45199</v>
      </c>
      <c r="G1306">
        <v>2023</v>
      </c>
      <c r="H1306" t="s">
        <v>162</v>
      </c>
      <c r="I1306" t="s">
        <v>28</v>
      </c>
      <c r="J1306">
        <v>100</v>
      </c>
      <c r="K1306">
        <v>93.756666666667002</v>
      </c>
      <c r="L1306" s="39">
        <f t="shared" si="100"/>
        <v>0.93756666666666999</v>
      </c>
      <c r="M1306" s="39">
        <f t="shared" si="99"/>
        <v>0.93756666666666999</v>
      </c>
      <c r="P1306">
        <v>0</v>
      </c>
      <c r="Q1306">
        <v>0</v>
      </c>
      <c r="R1306" t="s">
        <v>2900</v>
      </c>
    </row>
    <row r="1307" spans="1:18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45291</v>
      </c>
      <c r="G1307">
        <v>2023</v>
      </c>
      <c r="H1307" t="s">
        <v>23</v>
      </c>
      <c r="I1307" t="s">
        <v>28</v>
      </c>
      <c r="J1307">
        <v>100</v>
      </c>
      <c r="K1307">
        <v>94.39</v>
      </c>
      <c r="L1307" s="39">
        <f t="shared" si="100"/>
        <v>0.94389999999999996</v>
      </c>
      <c r="M1307" s="39">
        <f t="shared" si="99"/>
        <v>0.94389999999999996</v>
      </c>
      <c r="P1307">
        <v>0</v>
      </c>
      <c r="Q1307">
        <v>0</v>
      </c>
      <c r="R1307" t="s">
        <v>1169</v>
      </c>
    </row>
    <row r="1308" spans="1:18" x14ac:dyDescent="0.3">
      <c r="A1308">
        <v>417</v>
      </c>
      <c r="B1308" t="s">
        <v>1168</v>
      </c>
      <c r="C1308" t="s">
        <v>567</v>
      </c>
      <c r="D1308" t="s">
        <v>21</v>
      </c>
      <c r="E1308" t="s">
        <v>22</v>
      </c>
      <c r="F1308" s="79">
        <v>45473</v>
      </c>
      <c r="G1308">
        <v>2024</v>
      </c>
      <c r="H1308" t="s">
        <v>699</v>
      </c>
      <c r="I1308" t="s">
        <v>729</v>
      </c>
      <c r="J1308">
        <v>100</v>
      </c>
      <c r="K1308">
        <v>112.12</v>
      </c>
      <c r="L1308" s="39">
        <f t="shared" si="100"/>
        <v>1</v>
      </c>
      <c r="M1308" s="39">
        <f t="shared" si="99"/>
        <v>1.1212</v>
      </c>
      <c r="P1308">
        <v>0</v>
      </c>
      <c r="Q1308">
        <v>0</v>
      </c>
      <c r="R1308" t="s">
        <v>2902</v>
      </c>
    </row>
    <row r="1309" spans="1:18" x14ac:dyDescent="0.3">
      <c r="A1309">
        <v>417</v>
      </c>
      <c r="B1309" t="s">
        <v>1168</v>
      </c>
      <c r="C1309" t="s">
        <v>567</v>
      </c>
      <c r="D1309" t="s">
        <v>21</v>
      </c>
      <c r="E1309" t="s">
        <v>22</v>
      </c>
      <c r="F1309" s="79">
        <v>45657</v>
      </c>
      <c r="G1309">
        <v>2024</v>
      </c>
      <c r="H1309" t="s">
        <v>23</v>
      </c>
      <c r="I1309" t="s">
        <v>30</v>
      </c>
      <c r="J1309">
        <v>100</v>
      </c>
      <c r="K1309">
        <v>98.83</v>
      </c>
      <c r="L1309" s="39">
        <f t="shared" si="100"/>
        <v>0.98829999999999996</v>
      </c>
      <c r="M1309" s="39">
        <f t="shared" si="99"/>
        <v>0.98829999999999996</v>
      </c>
      <c r="P1309">
        <v>0</v>
      </c>
      <c r="Q1309">
        <v>0</v>
      </c>
      <c r="R1309" t="s">
        <v>1170</v>
      </c>
    </row>
    <row r="1310" spans="1:18" x14ac:dyDescent="0.3">
      <c r="A1310">
        <v>417</v>
      </c>
      <c r="B1310" t="s">
        <v>1168</v>
      </c>
      <c r="C1310" t="s">
        <v>567</v>
      </c>
      <c r="D1310" t="s">
        <v>27</v>
      </c>
      <c r="E1310" t="s">
        <v>22</v>
      </c>
      <c r="F1310" s="79">
        <v>45838</v>
      </c>
      <c r="G1310">
        <v>2025</v>
      </c>
      <c r="H1310" t="s">
        <v>699</v>
      </c>
      <c r="I1310" t="s">
        <v>700</v>
      </c>
      <c r="J1310">
        <v>100</v>
      </c>
      <c r="K1310">
        <v>101.28</v>
      </c>
      <c r="L1310" s="39">
        <f t="shared" si="100"/>
        <v>1</v>
      </c>
      <c r="M1310" s="39">
        <f t="shared" si="99"/>
        <v>1.0127999999999999</v>
      </c>
      <c r="N1310" t="s">
        <v>25</v>
      </c>
      <c r="O1310" t="s">
        <v>25</v>
      </c>
      <c r="P1310">
        <v>0</v>
      </c>
      <c r="Q1310">
        <v>0</v>
      </c>
      <c r="R1310" t="s">
        <v>2905</v>
      </c>
    </row>
    <row r="1311" spans="1:18" x14ac:dyDescent="0.3">
      <c r="A1311">
        <v>417</v>
      </c>
      <c r="B1311" t="s">
        <v>1168</v>
      </c>
      <c r="C1311" t="s">
        <v>567</v>
      </c>
      <c r="D1311" t="s">
        <v>27</v>
      </c>
      <c r="E1311" t="s">
        <v>22</v>
      </c>
      <c r="F1311" s="79">
        <v>46022</v>
      </c>
      <c r="G1311">
        <v>2025</v>
      </c>
      <c r="H1311" t="s">
        <v>23</v>
      </c>
      <c r="I1311" t="s">
        <v>32</v>
      </c>
      <c r="J1311">
        <v>100</v>
      </c>
      <c r="K1311">
        <v>97.99</v>
      </c>
      <c r="L1311" s="39">
        <f t="shared" si="100"/>
        <v>0.97989999999999999</v>
      </c>
      <c r="M1311" s="39">
        <f t="shared" si="99"/>
        <v>0.97989999999999999</v>
      </c>
      <c r="N1311" t="s">
        <v>25</v>
      </c>
      <c r="O1311" t="s">
        <v>25</v>
      </c>
      <c r="P1311">
        <v>0</v>
      </c>
      <c r="Q1311">
        <v>0</v>
      </c>
      <c r="R1311" t="s">
        <v>1171</v>
      </c>
    </row>
    <row r="1312" spans="1:18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45016</v>
      </c>
      <c r="G1312">
        <v>2023</v>
      </c>
      <c r="H1312" t="s">
        <v>1516</v>
      </c>
      <c r="I1312" t="s">
        <v>1512</v>
      </c>
      <c r="J1312">
        <v>100</v>
      </c>
      <c r="K1312">
        <v>0</v>
      </c>
      <c r="L1312" s="39">
        <f t="shared" si="100"/>
        <v>0</v>
      </c>
      <c r="M1312" s="39">
        <f t="shared" si="99"/>
        <v>0</v>
      </c>
      <c r="P1312">
        <v>0</v>
      </c>
      <c r="Q1312">
        <v>0</v>
      </c>
      <c r="R1312" t="s">
        <v>2907</v>
      </c>
    </row>
    <row r="1313" spans="1:18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45107</v>
      </c>
      <c r="G1313">
        <v>2023</v>
      </c>
      <c r="H1313" t="s">
        <v>699</v>
      </c>
      <c r="I1313" t="s">
        <v>1512</v>
      </c>
      <c r="J1313">
        <v>100</v>
      </c>
      <c r="K1313">
        <v>104.35666666666999</v>
      </c>
      <c r="L1313" s="39">
        <f t="shared" si="100"/>
        <v>1</v>
      </c>
      <c r="M1313" s="39">
        <f t="shared" si="99"/>
        <v>1.0435666666666998</v>
      </c>
      <c r="P1313">
        <v>0</v>
      </c>
      <c r="Q1313">
        <v>0</v>
      </c>
      <c r="R1313" t="s">
        <v>2908</v>
      </c>
    </row>
    <row r="1314" spans="1:18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45199</v>
      </c>
      <c r="G1314">
        <v>2023</v>
      </c>
      <c r="H1314" t="s">
        <v>162</v>
      </c>
      <c r="I1314" t="s">
        <v>28</v>
      </c>
      <c r="J1314">
        <v>100</v>
      </c>
      <c r="K1314">
        <v>85.611111111111001</v>
      </c>
      <c r="L1314" s="39">
        <f t="shared" si="100"/>
        <v>0.85611111111111005</v>
      </c>
      <c r="M1314" s="39">
        <f t="shared" si="99"/>
        <v>0.85611111111111005</v>
      </c>
      <c r="P1314">
        <v>0</v>
      </c>
      <c r="Q1314">
        <v>0</v>
      </c>
      <c r="R1314" t="s">
        <v>2909</v>
      </c>
    </row>
    <row r="1315" spans="1:18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45291</v>
      </c>
      <c r="G1315">
        <v>2023</v>
      </c>
      <c r="H1315" t="s">
        <v>23</v>
      </c>
      <c r="I1315" t="s">
        <v>28</v>
      </c>
      <c r="J1315">
        <v>100</v>
      </c>
      <c r="K1315">
        <v>95.802222222221999</v>
      </c>
      <c r="L1315" s="39">
        <f t="shared" si="100"/>
        <v>0.95802222222222</v>
      </c>
      <c r="M1315" s="39">
        <f t="shared" si="99"/>
        <v>0.95802222222222</v>
      </c>
      <c r="P1315">
        <v>0</v>
      </c>
      <c r="Q1315">
        <v>0</v>
      </c>
      <c r="R1315" t="s">
        <v>1173</v>
      </c>
    </row>
    <row r="1316" spans="1:18" x14ac:dyDescent="0.3">
      <c r="A1316">
        <v>418</v>
      </c>
      <c r="B1316" t="s">
        <v>1172</v>
      </c>
      <c r="C1316" t="s">
        <v>567</v>
      </c>
      <c r="D1316" t="s">
        <v>21</v>
      </c>
      <c r="E1316" t="s">
        <v>22</v>
      </c>
      <c r="F1316" s="79">
        <v>45473</v>
      </c>
      <c r="G1316">
        <v>2024</v>
      </c>
      <c r="H1316" t="s">
        <v>699</v>
      </c>
      <c r="I1316" t="s">
        <v>729</v>
      </c>
      <c r="J1316">
        <v>100</v>
      </c>
      <c r="K1316">
        <v>100.79</v>
      </c>
      <c r="L1316" s="39">
        <f t="shared" si="100"/>
        <v>1</v>
      </c>
      <c r="M1316" s="39">
        <f t="shared" si="99"/>
        <v>1.0079</v>
      </c>
      <c r="P1316">
        <v>0</v>
      </c>
      <c r="Q1316">
        <v>0</v>
      </c>
      <c r="R1316" t="s">
        <v>2911</v>
      </c>
    </row>
    <row r="1317" spans="1:18" x14ac:dyDescent="0.3">
      <c r="A1317">
        <v>418</v>
      </c>
      <c r="B1317" t="s">
        <v>1172</v>
      </c>
      <c r="C1317" t="s">
        <v>567</v>
      </c>
      <c r="D1317" t="s">
        <v>21</v>
      </c>
      <c r="E1317" t="s">
        <v>22</v>
      </c>
      <c r="F1317" s="79">
        <v>45657</v>
      </c>
      <c r="G1317">
        <v>2024</v>
      </c>
      <c r="H1317" t="s">
        <v>23</v>
      </c>
      <c r="I1317" t="s">
        <v>30</v>
      </c>
      <c r="J1317">
        <v>100</v>
      </c>
      <c r="K1317">
        <v>97.78</v>
      </c>
      <c r="L1317" s="39">
        <f t="shared" si="100"/>
        <v>0.9778</v>
      </c>
      <c r="M1317" s="39">
        <f t="shared" si="99"/>
        <v>0.9778</v>
      </c>
      <c r="P1317">
        <v>0</v>
      </c>
      <c r="Q1317">
        <v>0</v>
      </c>
      <c r="R1317" t="s">
        <v>1174</v>
      </c>
    </row>
    <row r="1318" spans="1:18" x14ac:dyDescent="0.3">
      <c r="A1318">
        <v>418</v>
      </c>
      <c r="B1318" t="s">
        <v>1172</v>
      </c>
      <c r="C1318" t="s">
        <v>567</v>
      </c>
      <c r="D1318" t="s">
        <v>27</v>
      </c>
      <c r="E1318" t="s">
        <v>22</v>
      </c>
      <c r="F1318" s="79">
        <v>45838</v>
      </c>
      <c r="G1318">
        <v>2025</v>
      </c>
      <c r="H1318" t="s">
        <v>699</v>
      </c>
      <c r="I1318" t="s">
        <v>700</v>
      </c>
      <c r="J1318">
        <v>100</v>
      </c>
      <c r="K1318">
        <v>105.83</v>
      </c>
      <c r="L1318" s="39">
        <f t="shared" si="100"/>
        <v>1</v>
      </c>
      <c r="M1318" s="39">
        <f t="shared" si="99"/>
        <v>1.0583</v>
      </c>
      <c r="N1318" t="s">
        <v>25</v>
      </c>
      <c r="O1318" t="s">
        <v>25</v>
      </c>
      <c r="P1318">
        <v>0</v>
      </c>
      <c r="Q1318">
        <v>0</v>
      </c>
      <c r="R1318" t="s">
        <v>2914</v>
      </c>
    </row>
    <row r="1319" spans="1:18" x14ac:dyDescent="0.3">
      <c r="A1319">
        <v>418</v>
      </c>
      <c r="B1319" t="s">
        <v>1172</v>
      </c>
      <c r="C1319" t="s">
        <v>567</v>
      </c>
      <c r="D1319" t="s">
        <v>27</v>
      </c>
      <c r="E1319" t="s">
        <v>22</v>
      </c>
      <c r="F1319" s="79">
        <v>46022</v>
      </c>
      <c r="G1319">
        <v>2025</v>
      </c>
      <c r="H1319" t="s">
        <v>23</v>
      </c>
      <c r="I1319" t="s">
        <v>32</v>
      </c>
      <c r="J1319">
        <v>100</v>
      </c>
      <c r="K1319">
        <v>99.61</v>
      </c>
      <c r="L1319" s="39">
        <f t="shared" si="100"/>
        <v>0.99609999999999999</v>
      </c>
      <c r="M1319" s="39">
        <f t="shared" si="99"/>
        <v>0.99609999999999999</v>
      </c>
      <c r="N1319" t="s">
        <v>25</v>
      </c>
      <c r="O1319" t="s">
        <v>25</v>
      </c>
      <c r="P1319">
        <v>0</v>
      </c>
      <c r="Q1319">
        <v>0</v>
      </c>
      <c r="R1319" t="s">
        <v>1175</v>
      </c>
    </row>
    <row r="1320" spans="1:18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45016</v>
      </c>
      <c r="G1320">
        <v>2023</v>
      </c>
      <c r="H1320" t="s">
        <v>1516</v>
      </c>
      <c r="I1320" t="s">
        <v>1512</v>
      </c>
      <c r="L1320" s="39"/>
      <c r="M1320" s="39"/>
      <c r="N1320" t="s">
        <v>25</v>
      </c>
      <c r="O1320" t="s">
        <v>25</v>
      </c>
      <c r="P1320">
        <v>0</v>
      </c>
      <c r="Q1320">
        <v>0</v>
      </c>
      <c r="R1320" t="s">
        <v>3262</v>
      </c>
    </row>
    <row r="1321" spans="1:18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45107</v>
      </c>
      <c r="G1321">
        <v>2023</v>
      </c>
      <c r="H1321" t="s">
        <v>699</v>
      </c>
      <c r="I1321" t="s">
        <v>1512</v>
      </c>
      <c r="J1321">
        <v>100</v>
      </c>
      <c r="K1321">
        <v>108.3</v>
      </c>
      <c r="L1321" s="39">
        <f>IFERROR(IF(OR(J1321=0,K1321=""),"",IF(E1321="Positivo",MIN(MAX(K1321/J1321,0),1.3),MIN(MAX(J1321/K1321,0),1.3))),"")</f>
        <v>1.083</v>
      </c>
      <c r="M1321" s="39">
        <f t="shared" ref="M1321:M1350" si="101">IFERROR(IF(OR(J1321=0,K1321=""),"",IF(E1321="Positivo",MAX(K1321/J1321,0),MAX(J1321/K1321,0))),"")</f>
        <v>1.083</v>
      </c>
      <c r="N1321" t="s">
        <v>25</v>
      </c>
      <c r="O1321" t="s">
        <v>25</v>
      </c>
      <c r="P1321">
        <v>0</v>
      </c>
      <c r="Q1321">
        <v>0</v>
      </c>
      <c r="R1321" t="s">
        <v>2916</v>
      </c>
    </row>
    <row r="1322" spans="1:18" x14ac:dyDescent="0.3">
      <c r="A1322">
        <v>419</v>
      </c>
      <c r="B1322" t="s">
        <v>1176</v>
      </c>
      <c r="C1322" t="s">
        <v>567</v>
      </c>
      <c r="D1322" t="s">
        <v>21</v>
      </c>
      <c r="E1322" t="s">
        <v>22</v>
      </c>
      <c r="F1322" s="79">
        <v>45199</v>
      </c>
      <c r="G1322">
        <v>2023</v>
      </c>
      <c r="H1322" t="s">
        <v>162</v>
      </c>
      <c r="I1322" t="s">
        <v>28</v>
      </c>
      <c r="J1322">
        <v>100</v>
      </c>
      <c r="K1322">
        <v>88.35</v>
      </c>
      <c r="L1322" s="39">
        <f>IFERROR(IF(OR(J1322=0,K1322=""),"",IF(E1322="Positivo",MIN(MAX(K1322/J1322,0),1.3),MIN(MAX(J1322/K1322,0),1.3))),"")</f>
        <v>0.88349999999999995</v>
      </c>
      <c r="M1322" s="39">
        <f t="shared" si="101"/>
        <v>0.88349999999999995</v>
      </c>
      <c r="N1322" t="s">
        <v>25</v>
      </c>
      <c r="O1322" t="s">
        <v>25</v>
      </c>
      <c r="P1322">
        <v>0</v>
      </c>
      <c r="Q1322">
        <v>0</v>
      </c>
      <c r="R1322" t="s">
        <v>2917</v>
      </c>
    </row>
    <row r="1323" spans="1:18" x14ac:dyDescent="0.3">
      <c r="A1323">
        <v>419</v>
      </c>
      <c r="B1323" t="s">
        <v>1176</v>
      </c>
      <c r="C1323" t="s">
        <v>567</v>
      </c>
      <c r="D1323" t="s">
        <v>21</v>
      </c>
      <c r="E1323" t="s">
        <v>22</v>
      </c>
      <c r="F1323" s="79">
        <v>45291</v>
      </c>
      <c r="G1323">
        <v>2023</v>
      </c>
      <c r="H1323" t="s">
        <v>23</v>
      </c>
      <c r="I1323" t="s">
        <v>28</v>
      </c>
      <c r="J1323">
        <v>100</v>
      </c>
      <c r="K1323">
        <v>93.56</v>
      </c>
      <c r="L1323" s="39">
        <f>IFERROR(IF(OR(J1323=0,K1323=""),"",IF(E1323="Positivo",MIN(MAX(K1323/J1323,0),1.3),MIN(MAX(J1323/K1323,0),1.3))),"")</f>
        <v>0.93559999999999999</v>
      </c>
      <c r="M1323" s="39">
        <f t="shared" si="101"/>
        <v>0.93559999999999999</v>
      </c>
      <c r="N1323" t="s">
        <v>25</v>
      </c>
      <c r="O1323" t="s">
        <v>25</v>
      </c>
      <c r="P1323">
        <v>0</v>
      </c>
      <c r="Q1323">
        <v>0</v>
      </c>
      <c r="R1323" t="s">
        <v>1177</v>
      </c>
    </row>
    <row r="1324" spans="1:18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ref="L1324:L1331" si="102">IFERROR(IF(OR(J1324=0,K1324=""),"",IF(E1324="Positivo",MIN(MAX(K1324/J1324,0),1),MIN(MAX(J1324/K1324,0),1))),"")</f>
        <v>0</v>
      </c>
      <c r="M1324" s="39">
        <f t="shared" si="101"/>
        <v>0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106.53</v>
      </c>
      <c r="L1325" s="39">
        <f t="shared" si="102"/>
        <v>1</v>
      </c>
      <c r="M1325" s="39">
        <f t="shared" si="101"/>
        <v>1.0652999999999999</v>
      </c>
      <c r="N1325" t="s">
        <v>25</v>
      </c>
      <c r="O1325" t="s">
        <v>25</v>
      </c>
      <c r="P1325">
        <v>0</v>
      </c>
      <c r="Q1325">
        <v>0</v>
      </c>
      <c r="R1325" t="s">
        <v>2919</v>
      </c>
    </row>
    <row r="1326" spans="1:18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94.69</v>
      </c>
      <c r="L1326" s="39">
        <f t="shared" si="102"/>
        <v>0.94689999999999996</v>
      </c>
      <c r="M1326" s="39">
        <f t="shared" si="101"/>
        <v>0.94689999999999996</v>
      </c>
      <c r="N1326" t="s">
        <v>25</v>
      </c>
      <c r="O1326" t="s">
        <v>25</v>
      </c>
      <c r="P1326">
        <v>0</v>
      </c>
      <c r="Q1326">
        <v>0</v>
      </c>
      <c r="R1326" t="s">
        <v>2920</v>
      </c>
    </row>
    <row r="1327" spans="1:18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100</v>
      </c>
      <c r="L1327" s="39">
        <f t="shared" si="102"/>
        <v>1</v>
      </c>
      <c r="M1327" s="39">
        <f t="shared" si="101"/>
        <v>1</v>
      </c>
      <c r="N1327" t="s">
        <v>25</v>
      </c>
      <c r="O1327" t="s">
        <v>25</v>
      </c>
      <c r="P1327">
        <v>0</v>
      </c>
      <c r="Q1327">
        <v>0</v>
      </c>
      <c r="R1327" t="s">
        <v>1179</v>
      </c>
    </row>
    <row r="1328" spans="1:18" x14ac:dyDescent="0.3">
      <c r="A1328">
        <v>420</v>
      </c>
      <c r="B1328" t="s">
        <v>1178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89.33</v>
      </c>
      <c r="L1328" s="39">
        <f t="shared" si="102"/>
        <v>0.89329999999999998</v>
      </c>
      <c r="M1328" s="39">
        <f t="shared" si="101"/>
        <v>0.89329999999999998</v>
      </c>
      <c r="P1328">
        <v>0</v>
      </c>
      <c r="Q1328">
        <v>0</v>
      </c>
      <c r="R1328" t="s">
        <v>2921</v>
      </c>
    </row>
    <row r="1329" spans="1:18" x14ac:dyDescent="0.3">
      <c r="A1329">
        <v>420</v>
      </c>
      <c r="B1329" t="s">
        <v>1178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96.67</v>
      </c>
      <c r="L1329" s="39">
        <f t="shared" si="102"/>
        <v>0.9667</v>
      </c>
      <c r="M1329" s="39">
        <f t="shared" si="101"/>
        <v>0.9667</v>
      </c>
      <c r="P1329">
        <v>0</v>
      </c>
      <c r="Q1329">
        <v>0</v>
      </c>
      <c r="R1329" t="s">
        <v>1180</v>
      </c>
    </row>
    <row r="1330" spans="1:18" x14ac:dyDescent="0.3">
      <c r="A1330">
        <v>420</v>
      </c>
      <c r="B1330" t="s">
        <v>1178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108.52</v>
      </c>
      <c r="L1330" s="39">
        <f t="shared" si="102"/>
        <v>1</v>
      </c>
      <c r="M1330" s="39">
        <f t="shared" si="101"/>
        <v>1.0851999999999999</v>
      </c>
      <c r="N1330" t="s">
        <v>25</v>
      </c>
      <c r="O1330" t="s">
        <v>25</v>
      </c>
      <c r="P1330">
        <v>0</v>
      </c>
      <c r="Q1330">
        <v>0</v>
      </c>
      <c r="R1330" t="s">
        <v>2924</v>
      </c>
    </row>
    <row r="1331" spans="1:18" x14ac:dyDescent="0.3">
      <c r="A1331">
        <v>420</v>
      </c>
      <c r="B1331" t="s">
        <v>1178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100</v>
      </c>
      <c r="L1331" s="39">
        <f t="shared" si="102"/>
        <v>1</v>
      </c>
      <c r="M1331" s="39">
        <f t="shared" si="101"/>
        <v>1</v>
      </c>
      <c r="N1331" t="s">
        <v>25</v>
      </c>
      <c r="O1331" t="s">
        <v>25</v>
      </c>
      <c r="P1331">
        <v>0</v>
      </c>
      <c r="Q1331">
        <v>0</v>
      </c>
      <c r="R1331" t="s">
        <v>1181</v>
      </c>
    </row>
    <row r="1332" spans="1:18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45107</v>
      </c>
      <c r="G1332">
        <v>2023</v>
      </c>
      <c r="H1332" t="s">
        <v>699</v>
      </c>
      <c r="I1332" t="s">
        <v>1512</v>
      </c>
      <c r="J1332">
        <v>104072</v>
      </c>
      <c r="K1332">
        <v>140002</v>
      </c>
      <c r="L1332" s="39">
        <f t="shared" ref="L1332:L1350" si="103">IFERROR(IF(OR(J1332=0,K1332=""),"",IF(E1332="Positivo",MIN(MAX(K1332/J1332,0),1.3),MIN(MAX(J1332/K1332,0),1.3))),"")</f>
        <v>1.3</v>
      </c>
      <c r="M1332" s="39">
        <f t="shared" si="101"/>
        <v>1.3452417557075871</v>
      </c>
      <c r="P1332">
        <v>0</v>
      </c>
      <c r="Q1332">
        <v>0</v>
      </c>
      <c r="R1332" t="s">
        <v>2926</v>
      </c>
    </row>
    <row r="1333" spans="1:18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45291</v>
      </c>
      <c r="G1333">
        <v>2023</v>
      </c>
      <c r="H1333" t="s">
        <v>23</v>
      </c>
      <c r="I1333" t="s">
        <v>28</v>
      </c>
      <c r="J1333">
        <v>97200</v>
      </c>
      <c r="K1333">
        <v>136199</v>
      </c>
      <c r="L1333" s="39">
        <f t="shared" si="103"/>
        <v>1.3</v>
      </c>
      <c r="M1333" s="39">
        <f t="shared" si="101"/>
        <v>1.4012242798353909</v>
      </c>
      <c r="P1333">
        <v>0</v>
      </c>
      <c r="Q1333">
        <v>0</v>
      </c>
      <c r="R1333" t="s">
        <v>1184</v>
      </c>
    </row>
    <row r="1334" spans="1:18" x14ac:dyDescent="0.3">
      <c r="A1334">
        <v>421</v>
      </c>
      <c r="B1334" t="s">
        <v>1182</v>
      </c>
      <c r="C1334" t="s">
        <v>1183</v>
      </c>
      <c r="D1334" t="s">
        <v>27</v>
      </c>
      <c r="E1334" t="s">
        <v>22</v>
      </c>
      <c r="F1334" s="79">
        <v>45473</v>
      </c>
      <c r="G1334">
        <v>2024</v>
      </c>
      <c r="H1334" t="s">
        <v>699</v>
      </c>
      <c r="I1334" t="s">
        <v>729</v>
      </c>
      <c r="J1334">
        <v>147043</v>
      </c>
      <c r="K1334">
        <v>177740</v>
      </c>
      <c r="L1334" s="39">
        <f t="shared" si="103"/>
        <v>1.2087620627979572</v>
      </c>
      <c r="M1334" s="39">
        <f t="shared" si="101"/>
        <v>1.2087620627979572</v>
      </c>
      <c r="P1334">
        <v>0</v>
      </c>
      <c r="Q1334">
        <v>0</v>
      </c>
      <c r="R1334" t="s">
        <v>2927</v>
      </c>
    </row>
    <row r="1335" spans="1:18" x14ac:dyDescent="0.3">
      <c r="A1335">
        <v>421</v>
      </c>
      <c r="B1335" t="s">
        <v>1182</v>
      </c>
      <c r="C1335" t="s">
        <v>1183</v>
      </c>
      <c r="D1335" t="s">
        <v>27</v>
      </c>
      <c r="E1335" t="s">
        <v>22</v>
      </c>
      <c r="F1335" s="79">
        <v>45657</v>
      </c>
      <c r="G1335">
        <v>2024</v>
      </c>
      <c r="H1335" t="s">
        <v>23</v>
      </c>
      <c r="I1335" t="s">
        <v>30</v>
      </c>
      <c r="J1335">
        <v>100</v>
      </c>
      <c r="K1335">
        <v>121.44</v>
      </c>
      <c r="L1335" s="39">
        <f t="shared" si="103"/>
        <v>1.2143999999999999</v>
      </c>
      <c r="M1335" s="39">
        <f t="shared" si="101"/>
        <v>1.2143999999999999</v>
      </c>
      <c r="P1335">
        <v>0</v>
      </c>
      <c r="Q1335">
        <v>0</v>
      </c>
      <c r="R1335" t="s">
        <v>1185</v>
      </c>
    </row>
    <row r="1336" spans="1:18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45107</v>
      </c>
      <c r="G1336">
        <v>2023</v>
      </c>
      <c r="H1336" t="s">
        <v>699</v>
      </c>
      <c r="I1336" t="s">
        <v>1512</v>
      </c>
      <c r="J1336">
        <v>11.7</v>
      </c>
      <c r="K1336">
        <v>11.973211368834001</v>
      </c>
      <c r="L1336" s="39">
        <f t="shared" si="103"/>
        <v>1.0233513990456411</v>
      </c>
      <c r="M1336" s="39">
        <f t="shared" si="101"/>
        <v>1.0233513990456411</v>
      </c>
      <c r="N1336" t="s">
        <v>25</v>
      </c>
      <c r="O1336" t="s">
        <v>25</v>
      </c>
      <c r="P1336">
        <v>2</v>
      </c>
      <c r="Q1336">
        <v>2</v>
      </c>
      <c r="R1336" t="s">
        <v>2928</v>
      </c>
    </row>
    <row r="1337" spans="1:18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10.5</v>
      </c>
      <c r="K1337">
        <v>11.04</v>
      </c>
      <c r="L1337" s="39">
        <f t="shared" si="103"/>
        <v>1.0514285714285714</v>
      </c>
      <c r="M1337" s="39">
        <f t="shared" si="101"/>
        <v>1.0514285714285714</v>
      </c>
      <c r="N1337" t="s">
        <v>25</v>
      </c>
      <c r="O1337" t="s">
        <v>25</v>
      </c>
      <c r="P1337">
        <v>2</v>
      </c>
      <c r="Q1337">
        <v>2</v>
      </c>
      <c r="R1337" t="s">
        <v>1187</v>
      </c>
    </row>
    <row r="1338" spans="1:18" x14ac:dyDescent="0.3">
      <c r="A1338">
        <v>422</v>
      </c>
      <c r="B1338" t="s">
        <v>1186</v>
      </c>
      <c r="C1338" t="s">
        <v>1183</v>
      </c>
      <c r="D1338" t="s">
        <v>27</v>
      </c>
      <c r="E1338" t="s">
        <v>22</v>
      </c>
      <c r="F1338" s="79">
        <v>45473</v>
      </c>
      <c r="G1338">
        <v>2024</v>
      </c>
      <c r="H1338" t="s">
        <v>699</v>
      </c>
      <c r="I1338" t="s">
        <v>729</v>
      </c>
      <c r="J1338">
        <v>9.25</v>
      </c>
      <c r="K1338">
        <v>8.86</v>
      </c>
      <c r="L1338" s="39">
        <f t="shared" si="103"/>
        <v>0.95783783783783782</v>
      </c>
      <c r="M1338" s="39">
        <f t="shared" si="101"/>
        <v>0.95783783783783782</v>
      </c>
      <c r="P1338">
        <v>0</v>
      </c>
      <c r="Q1338">
        <v>0</v>
      </c>
      <c r="R1338" t="s">
        <v>2929</v>
      </c>
    </row>
    <row r="1339" spans="1:18" x14ac:dyDescent="0.3">
      <c r="A1339">
        <v>422</v>
      </c>
      <c r="B1339" t="s">
        <v>1186</v>
      </c>
      <c r="C1339" t="s">
        <v>1183</v>
      </c>
      <c r="D1339" t="s">
        <v>27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8.01</v>
      </c>
      <c r="K1339">
        <v>7.91</v>
      </c>
      <c r="L1339" s="39">
        <f t="shared" si="103"/>
        <v>0.98751560549313366</v>
      </c>
      <c r="M1339" s="39">
        <f t="shared" si="101"/>
        <v>0.98751560549313366</v>
      </c>
      <c r="P1339">
        <v>0</v>
      </c>
      <c r="Q1339">
        <v>0</v>
      </c>
      <c r="R1339" t="s">
        <v>1188</v>
      </c>
    </row>
    <row r="1340" spans="1:18" x14ac:dyDescent="0.3">
      <c r="A1340">
        <v>422</v>
      </c>
      <c r="B1340" t="s">
        <v>1186</v>
      </c>
      <c r="C1340" t="s">
        <v>1183</v>
      </c>
      <c r="D1340" t="s">
        <v>21</v>
      </c>
      <c r="E1340" t="s">
        <v>22</v>
      </c>
      <c r="F1340" s="79">
        <v>45838</v>
      </c>
      <c r="G1340">
        <v>2025</v>
      </c>
      <c r="H1340" t="s">
        <v>699</v>
      </c>
      <c r="I1340" t="s">
        <v>700</v>
      </c>
      <c r="J1340">
        <v>7.83</v>
      </c>
      <c r="K1340">
        <v>8.1999999999999993</v>
      </c>
      <c r="L1340" s="39">
        <f t="shared" si="103"/>
        <v>1.0472541507024264</v>
      </c>
      <c r="M1340" s="39">
        <f t="shared" si="101"/>
        <v>1.0472541507024264</v>
      </c>
      <c r="N1340" t="s">
        <v>25</v>
      </c>
      <c r="O1340" t="s">
        <v>25</v>
      </c>
      <c r="P1340">
        <v>2</v>
      </c>
      <c r="Q1340">
        <v>2</v>
      </c>
      <c r="R1340" t="s">
        <v>2930</v>
      </c>
    </row>
    <row r="1341" spans="1:18" x14ac:dyDescent="0.3">
      <c r="A1341">
        <v>422</v>
      </c>
      <c r="B1341" t="s">
        <v>1186</v>
      </c>
      <c r="C1341" t="s">
        <v>1183</v>
      </c>
      <c r="D1341" t="s">
        <v>21</v>
      </c>
      <c r="E1341" t="s">
        <v>22</v>
      </c>
      <c r="F1341" s="79">
        <v>46022</v>
      </c>
      <c r="G1341">
        <v>2025</v>
      </c>
      <c r="H1341" t="s">
        <v>23</v>
      </c>
      <c r="I1341" t="s">
        <v>32</v>
      </c>
      <c r="J1341">
        <v>7.68</v>
      </c>
      <c r="K1341">
        <v>7.87</v>
      </c>
      <c r="L1341" s="39">
        <f t="shared" si="103"/>
        <v>1.0247395833333335</v>
      </c>
      <c r="M1341" s="39">
        <f t="shared" si="101"/>
        <v>1.0247395833333335</v>
      </c>
      <c r="N1341" t="s">
        <v>25</v>
      </c>
      <c r="O1341" t="s">
        <v>25</v>
      </c>
      <c r="P1341">
        <v>2</v>
      </c>
      <c r="Q1341">
        <v>2</v>
      </c>
      <c r="R1341" t="s">
        <v>1189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45291</v>
      </c>
      <c r="G1342">
        <v>2023</v>
      </c>
      <c r="H1342" t="s">
        <v>23</v>
      </c>
      <c r="I1342" t="s">
        <v>28</v>
      </c>
      <c r="J1342">
        <v>8.4</v>
      </c>
      <c r="K1342">
        <v>7.9</v>
      </c>
      <c r="L1342" s="39">
        <f t="shared" si="103"/>
        <v>0.94047619047619047</v>
      </c>
      <c r="M1342" s="39">
        <f t="shared" si="101"/>
        <v>0.94047619047619047</v>
      </c>
      <c r="N1342" t="s">
        <v>136</v>
      </c>
      <c r="O1342" t="s">
        <v>136</v>
      </c>
      <c r="P1342">
        <v>1</v>
      </c>
      <c r="Q1342">
        <v>1</v>
      </c>
      <c r="R1342" t="s">
        <v>1191</v>
      </c>
    </row>
    <row r="1343" spans="1:18" x14ac:dyDescent="0.3">
      <c r="A1343">
        <v>423</v>
      </c>
      <c r="B1343" t="s">
        <v>1190</v>
      </c>
      <c r="C1343" t="s">
        <v>1183</v>
      </c>
      <c r="D1343" t="s">
        <v>71</v>
      </c>
      <c r="E1343" t="s">
        <v>22</v>
      </c>
      <c r="F1343" s="79">
        <v>45657</v>
      </c>
      <c r="G1343">
        <v>2024</v>
      </c>
      <c r="H1343" t="s">
        <v>23</v>
      </c>
      <c r="I1343" t="s">
        <v>30</v>
      </c>
      <c r="J1343">
        <v>8.3000000000000007</v>
      </c>
      <c r="K1343">
        <v>12.3</v>
      </c>
      <c r="L1343" s="39">
        <f t="shared" si="103"/>
        <v>1.3</v>
      </c>
      <c r="M1343" s="39">
        <f t="shared" si="101"/>
        <v>1.4819277108433735</v>
      </c>
      <c r="N1343" t="s">
        <v>136</v>
      </c>
      <c r="O1343" t="s">
        <v>136</v>
      </c>
      <c r="P1343">
        <v>1</v>
      </c>
      <c r="Q1343">
        <v>1</v>
      </c>
      <c r="R1343" t="s">
        <v>1192</v>
      </c>
    </row>
    <row r="1344" spans="1:18" x14ac:dyDescent="0.3">
      <c r="A1344">
        <v>423</v>
      </c>
      <c r="B1344" t="s">
        <v>1190</v>
      </c>
      <c r="C1344" t="s">
        <v>1183</v>
      </c>
      <c r="D1344" t="s">
        <v>71</v>
      </c>
      <c r="E1344" t="s">
        <v>22</v>
      </c>
      <c r="F1344" s="79">
        <v>46022</v>
      </c>
      <c r="G1344">
        <v>2025</v>
      </c>
      <c r="H1344" t="s">
        <v>23</v>
      </c>
      <c r="I1344" t="s">
        <v>32</v>
      </c>
      <c r="J1344">
        <v>12.3</v>
      </c>
      <c r="K1344">
        <v>15.1</v>
      </c>
      <c r="L1344" s="39">
        <f t="shared" si="103"/>
        <v>1.2276422764227641</v>
      </c>
      <c r="M1344" s="39">
        <f t="shared" si="101"/>
        <v>1.2276422764227641</v>
      </c>
      <c r="N1344" t="s">
        <v>136</v>
      </c>
      <c r="O1344" t="s">
        <v>136</v>
      </c>
      <c r="P1344">
        <v>1</v>
      </c>
      <c r="Q1344">
        <v>1</v>
      </c>
      <c r="R1344" t="s">
        <v>1193</v>
      </c>
    </row>
    <row r="1345" spans="1:18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92</v>
      </c>
      <c r="K1345">
        <v>6</v>
      </c>
      <c r="L1345" s="39">
        <f t="shared" si="103"/>
        <v>6.5217391304347824E-2</v>
      </c>
      <c r="M1345" s="39">
        <f t="shared" si="101"/>
        <v>6.5217391304347824E-2</v>
      </c>
      <c r="N1345" t="s">
        <v>128</v>
      </c>
      <c r="O1345" t="s">
        <v>128</v>
      </c>
      <c r="P1345">
        <v>0</v>
      </c>
      <c r="Q1345">
        <v>0</v>
      </c>
      <c r="R1345" t="s">
        <v>1195</v>
      </c>
    </row>
    <row r="1346" spans="1:18" x14ac:dyDescent="0.3">
      <c r="A1346">
        <v>424</v>
      </c>
      <c r="B1346" t="s">
        <v>1194</v>
      </c>
      <c r="C1346" t="s">
        <v>1183</v>
      </c>
      <c r="D1346" t="s">
        <v>71</v>
      </c>
      <c r="E1346" t="s">
        <v>22</v>
      </c>
      <c r="F1346" s="79">
        <v>45657</v>
      </c>
      <c r="G1346">
        <v>2024</v>
      </c>
      <c r="H1346" t="s">
        <v>23</v>
      </c>
      <c r="I1346" t="s">
        <v>30</v>
      </c>
      <c r="J1346">
        <v>7</v>
      </c>
      <c r="K1346">
        <v>9</v>
      </c>
      <c r="L1346" s="39">
        <f t="shared" si="103"/>
        <v>1.2857142857142858</v>
      </c>
      <c r="M1346" s="39">
        <f t="shared" si="101"/>
        <v>1.2857142857142858</v>
      </c>
      <c r="N1346" t="s">
        <v>128</v>
      </c>
      <c r="O1346" t="s">
        <v>128</v>
      </c>
      <c r="P1346">
        <v>0</v>
      </c>
      <c r="Q1346">
        <v>0</v>
      </c>
      <c r="R1346" t="s">
        <v>1196</v>
      </c>
    </row>
    <row r="1347" spans="1:18" x14ac:dyDescent="0.3">
      <c r="A1347">
        <v>424</v>
      </c>
      <c r="B1347" t="s">
        <v>1194</v>
      </c>
      <c r="C1347" t="s">
        <v>1183</v>
      </c>
      <c r="D1347" t="s">
        <v>71</v>
      </c>
      <c r="E1347" t="s">
        <v>22</v>
      </c>
      <c r="F1347" s="79">
        <v>46022</v>
      </c>
      <c r="G1347">
        <v>2025</v>
      </c>
      <c r="H1347" t="s">
        <v>23</v>
      </c>
      <c r="I1347" t="s">
        <v>32</v>
      </c>
      <c r="J1347">
        <v>9</v>
      </c>
      <c r="K1347">
        <v>11</v>
      </c>
      <c r="L1347" s="39">
        <f t="shared" si="103"/>
        <v>1.2222222222222223</v>
      </c>
      <c r="M1347" s="39">
        <f t="shared" si="101"/>
        <v>1.2222222222222223</v>
      </c>
      <c r="N1347" t="s">
        <v>128</v>
      </c>
      <c r="O1347" t="s">
        <v>128</v>
      </c>
      <c r="P1347">
        <v>0</v>
      </c>
      <c r="Q1347">
        <v>0</v>
      </c>
      <c r="R1347" t="s">
        <v>1197</v>
      </c>
    </row>
    <row r="1348" spans="1:18" x14ac:dyDescent="0.3">
      <c r="A1348">
        <v>425</v>
      </c>
      <c r="B1348" t="s">
        <v>1198</v>
      </c>
      <c r="C1348" t="s">
        <v>1044</v>
      </c>
      <c r="D1348" t="s">
        <v>71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5500</v>
      </c>
      <c r="K1348">
        <v>5785</v>
      </c>
      <c r="L1348" s="39">
        <f t="shared" si="103"/>
        <v>1.0518181818181818</v>
      </c>
      <c r="M1348" s="39">
        <f t="shared" si="101"/>
        <v>1.0518181818181818</v>
      </c>
      <c r="P1348">
        <v>0</v>
      </c>
      <c r="Q1348">
        <v>0</v>
      </c>
      <c r="R1348" t="s">
        <v>1199</v>
      </c>
    </row>
    <row r="1349" spans="1:18" x14ac:dyDescent="0.3">
      <c r="A1349">
        <v>425</v>
      </c>
      <c r="B1349" t="s">
        <v>1198</v>
      </c>
      <c r="C1349" t="s">
        <v>1044</v>
      </c>
      <c r="D1349" t="s">
        <v>27</v>
      </c>
      <c r="E1349" t="s">
        <v>22</v>
      </c>
      <c r="F1349" s="79">
        <v>45473</v>
      </c>
      <c r="G1349">
        <v>2024</v>
      </c>
      <c r="H1349" t="s">
        <v>699</v>
      </c>
      <c r="I1349" t="s">
        <v>729</v>
      </c>
      <c r="J1349">
        <v>100</v>
      </c>
      <c r="K1349">
        <v>60.69</v>
      </c>
      <c r="L1349" s="39">
        <f t="shared" si="103"/>
        <v>0.6069</v>
      </c>
      <c r="M1349" s="39">
        <f t="shared" si="101"/>
        <v>0.6069</v>
      </c>
      <c r="P1349">
        <v>0</v>
      </c>
      <c r="Q1349">
        <v>0</v>
      </c>
      <c r="R1349" t="s">
        <v>2932</v>
      </c>
    </row>
    <row r="1350" spans="1:18" x14ac:dyDescent="0.3">
      <c r="A1350">
        <v>425</v>
      </c>
      <c r="B1350" t="s">
        <v>1198</v>
      </c>
      <c r="C1350" t="s">
        <v>1044</v>
      </c>
      <c r="D1350" t="s">
        <v>27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164.69</v>
      </c>
      <c r="L1350" s="39">
        <f t="shared" si="103"/>
        <v>1.3</v>
      </c>
      <c r="M1350" s="39">
        <f t="shared" si="101"/>
        <v>1.6469</v>
      </c>
      <c r="P1350">
        <v>0</v>
      </c>
      <c r="Q1350">
        <v>0</v>
      </c>
      <c r="R1350" t="s">
        <v>1200</v>
      </c>
    </row>
    <row r="1351" spans="1:18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45107</v>
      </c>
      <c r="G1351">
        <v>2023</v>
      </c>
      <c r="H1351" t="s">
        <v>699</v>
      </c>
      <c r="I1351" t="s">
        <v>1512</v>
      </c>
      <c r="K1351">
        <v>86.98</v>
      </c>
      <c r="L1351" s="39"/>
      <c r="M1351" s="39"/>
      <c r="N1351" t="s">
        <v>355</v>
      </c>
      <c r="O1351" t="s">
        <v>25</v>
      </c>
      <c r="P1351">
        <v>0</v>
      </c>
      <c r="Q1351">
        <v>0</v>
      </c>
      <c r="R1351" t="s">
        <v>2933</v>
      </c>
    </row>
    <row r="1352" spans="1:18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45291</v>
      </c>
      <c r="G1352">
        <v>2023</v>
      </c>
      <c r="H1352" t="s">
        <v>23</v>
      </c>
      <c r="I1352" t="s">
        <v>28</v>
      </c>
      <c r="K1352">
        <v>92.31</v>
      </c>
      <c r="L1352" s="39"/>
      <c r="M1352" s="39"/>
      <c r="N1352" t="s">
        <v>355</v>
      </c>
      <c r="O1352" t="s">
        <v>25</v>
      </c>
      <c r="P1352">
        <v>0</v>
      </c>
      <c r="Q1352">
        <v>0</v>
      </c>
      <c r="R1352" t="s">
        <v>1202</v>
      </c>
    </row>
    <row r="1353" spans="1:18" x14ac:dyDescent="0.3">
      <c r="A1353">
        <v>426</v>
      </c>
      <c r="B1353" t="s">
        <v>1201</v>
      </c>
      <c r="C1353" t="s">
        <v>149</v>
      </c>
      <c r="D1353" t="s">
        <v>27</v>
      </c>
      <c r="E1353" t="s">
        <v>22</v>
      </c>
      <c r="F1353" s="79">
        <v>45473</v>
      </c>
      <c r="G1353">
        <v>2024</v>
      </c>
      <c r="H1353" t="s">
        <v>699</v>
      </c>
      <c r="I1353" t="s">
        <v>729</v>
      </c>
      <c r="J1353">
        <v>80</v>
      </c>
      <c r="K1353">
        <v>60.27</v>
      </c>
      <c r="L1353" s="39">
        <f t="shared" ref="L1353:L1384" si="104">IFERROR(IF(OR(J1353=0,K1353=""),"",IF(E1353="Positivo",MIN(MAX(K1353/J1353,0),1.3),MIN(MAX(J1353/K1353,0),1.3))),"")</f>
        <v>0.75337500000000002</v>
      </c>
      <c r="M1353" s="39">
        <f t="shared" ref="M1353:M1384" si="105">IFERROR(IF(OR(J1353=0,K1353=""),"",IF(E1353="Positivo",MAX(K1353/J1353,0),MAX(J1353/K1353,0))),"")</f>
        <v>0.75337500000000002</v>
      </c>
      <c r="P1353">
        <v>0</v>
      </c>
      <c r="Q1353">
        <v>0</v>
      </c>
      <c r="R1353" t="s">
        <v>2934</v>
      </c>
    </row>
    <row r="1354" spans="1:18" x14ac:dyDescent="0.3">
      <c r="A1354">
        <v>426</v>
      </c>
      <c r="B1354" t="s">
        <v>1201</v>
      </c>
      <c r="C1354" t="s">
        <v>149</v>
      </c>
      <c r="D1354" t="s">
        <v>27</v>
      </c>
      <c r="E1354" t="s">
        <v>22</v>
      </c>
      <c r="F1354" s="79">
        <v>45657</v>
      </c>
      <c r="G1354">
        <v>2024</v>
      </c>
      <c r="H1354" t="s">
        <v>23</v>
      </c>
      <c r="I1354" t="s">
        <v>30</v>
      </c>
      <c r="J1354">
        <v>80</v>
      </c>
      <c r="K1354">
        <v>86.72</v>
      </c>
      <c r="L1354" s="39">
        <f t="shared" si="104"/>
        <v>1.0840000000000001</v>
      </c>
      <c r="M1354" s="39">
        <f t="shared" si="105"/>
        <v>1.0840000000000001</v>
      </c>
      <c r="P1354">
        <v>0</v>
      </c>
      <c r="Q1354">
        <v>0</v>
      </c>
      <c r="R1354" t="s">
        <v>1203</v>
      </c>
    </row>
    <row r="1355" spans="1:18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45107</v>
      </c>
      <c r="G1355">
        <v>2023</v>
      </c>
      <c r="H1355" t="s">
        <v>699</v>
      </c>
      <c r="I1355" t="s">
        <v>1512</v>
      </c>
      <c r="J1355">
        <v>0.2</v>
      </c>
      <c r="K1355">
        <v>0.13666666666666999</v>
      </c>
      <c r="L1355" s="39">
        <f t="shared" si="104"/>
        <v>1.3</v>
      </c>
      <c r="M1355" s="39">
        <f t="shared" si="105"/>
        <v>1.4634146341463059</v>
      </c>
      <c r="N1355" t="s">
        <v>136</v>
      </c>
      <c r="O1355" t="s">
        <v>136</v>
      </c>
      <c r="P1355">
        <v>2</v>
      </c>
      <c r="Q1355">
        <v>2</v>
      </c>
      <c r="R1355" t="s">
        <v>2935</v>
      </c>
    </row>
    <row r="1356" spans="1:18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45291</v>
      </c>
      <c r="G1356">
        <v>2023</v>
      </c>
      <c r="H1356" t="s">
        <v>23</v>
      </c>
      <c r="I1356" t="s">
        <v>28</v>
      </c>
      <c r="J1356">
        <v>0.2</v>
      </c>
      <c r="K1356">
        <v>0.2</v>
      </c>
      <c r="L1356" s="39">
        <f t="shared" si="104"/>
        <v>1</v>
      </c>
      <c r="M1356" s="39">
        <f t="shared" si="105"/>
        <v>1</v>
      </c>
      <c r="N1356" t="s">
        <v>136</v>
      </c>
      <c r="O1356" t="s">
        <v>136</v>
      </c>
      <c r="P1356">
        <v>2</v>
      </c>
      <c r="Q1356">
        <v>2</v>
      </c>
      <c r="R1356" t="s">
        <v>1205</v>
      </c>
    </row>
    <row r="1357" spans="1:18" x14ac:dyDescent="0.3">
      <c r="A1357">
        <v>427</v>
      </c>
      <c r="B1357" t="s">
        <v>1204</v>
      </c>
      <c r="C1357" t="s">
        <v>190</v>
      </c>
      <c r="D1357" t="s">
        <v>27</v>
      </c>
      <c r="E1357" t="s">
        <v>41</v>
      </c>
      <c r="F1357" s="79">
        <v>45473</v>
      </c>
      <c r="G1357">
        <v>2024</v>
      </c>
      <c r="H1357" t="s">
        <v>699</v>
      </c>
      <c r="I1357" t="s">
        <v>729</v>
      </c>
      <c r="J1357">
        <v>0.2</v>
      </c>
      <c r="K1357">
        <v>0.17</v>
      </c>
      <c r="L1357" s="39">
        <f t="shared" si="104"/>
        <v>1.1764705882352942</v>
      </c>
      <c r="M1357" s="39">
        <f t="shared" si="105"/>
        <v>1.1764705882352942</v>
      </c>
      <c r="P1357">
        <v>0</v>
      </c>
      <c r="Q1357">
        <v>0</v>
      </c>
      <c r="R1357" t="s">
        <v>2936</v>
      </c>
    </row>
    <row r="1358" spans="1:18" x14ac:dyDescent="0.3">
      <c r="A1358">
        <v>427</v>
      </c>
      <c r="B1358" t="s">
        <v>1204</v>
      </c>
      <c r="C1358" t="s">
        <v>190</v>
      </c>
      <c r="D1358" t="s">
        <v>27</v>
      </c>
      <c r="E1358" t="s">
        <v>41</v>
      </c>
      <c r="F1358" s="79">
        <v>45657</v>
      </c>
      <c r="G1358">
        <v>2024</v>
      </c>
      <c r="H1358" t="s">
        <v>23</v>
      </c>
      <c r="I1358" t="s">
        <v>30</v>
      </c>
      <c r="J1358">
        <v>0.2</v>
      </c>
      <c r="K1358">
        <v>0.17</v>
      </c>
      <c r="L1358" s="39">
        <f t="shared" si="104"/>
        <v>1.1764705882352942</v>
      </c>
      <c r="M1358" s="39">
        <f t="shared" si="105"/>
        <v>1.1764705882352942</v>
      </c>
      <c r="P1358">
        <v>0</v>
      </c>
      <c r="Q1358">
        <v>0</v>
      </c>
      <c r="R1358" t="s">
        <v>1206</v>
      </c>
    </row>
    <row r="1359" spans="1:18" x14ac:dyDescent="0.3">
      <c r="A1359">
        <v>427</v>
      </c>
      <c r="B1359" t="s">
        <v>1204</v>
      </c>
      <c r="C1359" t="s">
        <v>190</v>
      </c>
      <c r="D1359" t="s">
        <v>21</v>
      </c>
      <c r="E1359" t="s">
        <v>41</v>
      </c>
      <c r="F1359" s="79">
        <v>45838</v>
      </c>
      <c r="G1359">
        <v>2025</v>
      </c>
      <c r="H1359" t="s">
        <v>699</v>
      </c>
      <c r="I1359" t="s">
        <v>700</v>
      </c>
      <c r="J1359">
        <v>0.2</v>
      </c>
      <c r="K1359">
        <v>0.14000000000000001</v>
      </c>
      <c r="L1359" s="39">
        <f t="shared" si="104"/>
        <v>1.3</v>
      </c>
      <c r="M1359" s="39">
        <f t="shared" si="105"/>
        <v>1.4285714285714286</v>
      </c>
      <c r="N1359" t="s">
        <v>136</v>
      </c>
      <c r="O1359" t="s">
        <v>136</v>
      </c>
      <c r="P1359">
        <v>2</v>
      </c>
      <c r="Q1359">
        <v>2</v>
      </c>
      <c r="R1359" t="s">
        <v>2937</v>
      </c>
    </row>
    <row r="1360" spans="1:18" x14ac:dyDescent="0.3">
      <c r="A1360">
        <v>427</v>
      </c>
      <c r="B1360" t="s">
        <v>1204</v>
      </c>
      <c r="C1360" t="s">
        <v>190</v>
      </c>
      <c r="D1360" t="s">
        <v>21</v>
      </c>
      <c r="E1360" t="s">
        <v>41</v>
      </c>
      <c r="F1360" s="79">
        <v>46022</v>
      </c>
      <c r="G1360">
        <v>2025</v>
      </c>
      <c r="H1360" t="s">
        <v>23</v>
      </c>
      <c r="I1360" t="s">
        <v>32</v>
      </c>
      <c r="J1360">
        <v>0.2</v>
      </c>
      <c r="K1360">
        <v>0.15</v>
      </c>
      <c r="L1360" s="39">
        <f t="shared" si="104"/>
        <v>1.3</v>
      </c>
      <c r="M1360" s="39">
        <f t="shared" si="105"/>
        <v>1.3333333333333335</v>
      </c>
      <c r="N1360" t="s">
        <v>136</v>
      </c>
      <c r="O1360" t="s">
        <v>136</v>
      </c>
      <c r="P1360">
        <v>2</v>
      </c>
      <c r="Q1360">
        <v>2</v>
      </c>
      <c r="R1360" t="s">
        <v>1207</v>
      </c>
    </row>
    <row r="1361" spans="1:18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45107</v>
      </c>
      <c r="G1361">
        <v>2023</v>
      </c>
      <c r="H1361" t="s">
        <v>699</v>
      </c>
      <c r="I1361" t="s">
        <v>1512</v>
      </c>
      <c r="J1361">
        <v>1</v>
      </c>
      <c r="K1361">
        <v>17.59</v>
      </c>
      <c r="L1361" s="39">
        <f t="shared" si="104"/>
        <v>5.6850483229107449E-2</v>
      </c>
      <c r="M1361" s="39">
        <f t="shared" si="105"/>
        <v>5.6850483229107449E-2</v>
      </c>
      <c r="P1361">
        <v>0</v>
      </c>
      <c r="Q1361">
        <v>0</v>
      </c>
      <c r="R1361" t="s">
        <v>2938</v>
      </c>
    </row>
    <row r="1362" spans="1:18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45291</v>
      </c>
      <c r="G1362">
        <v>2023</v>
      </c>
      <c r="H1362" t="s">
        <v>23</v>
      </c>
      <c r="I1362" t="s">
        <v>28</v>
      </c>
      <c r="J1362">
        <v>1</v>
      </c>
      <c r="K1362">
        <v>18.63</v>
      </c>
      <c r="L1362" s="39">
        <f t="shared" si="104"/>
        <v>5.3676865271068172E-2</v>
      </c>
      <c r="M1362" s="39">
        <f t="shared" si="105"/>
        <v>5.3676865271068172E-2</v>
      </c>
      <c r="P1362">
        <v>0</v>
      </c>
      <c r="Q1362">
        <v>0</v>
      </c>
      <c r="R1362" t="s">
        <v>1209</v>
      </c>
    </row>
    <row r="1363" spans="1:18" x14ac:dyDescent="0.3">
      <c r="A1363">
        <v>428</v>
      </c>
      <c r="B1363" t="s">
        <v>1208</v>
      </c>
      <c r="C1363" t="s">
        <v>190</v>
      </c>
      <c r="D1363" t="s">
        <v>27</v>
      </c>
      <c r="E1363" t="s">
        <v>41</v>
      </c>
      <c r="F1363" s="79">
        <v>45473</v>
      </c>
      <c r="G1363">
        <v>2024</v>
      </c>
      <c r="H1363" t="s">
        <v>699</v>
      </c>
      <c r="I1363" t="s">
        <v>729</v>
      </c>
      <c r="J1363">
        <v>1</v>
      </c>
      <c r="K1363">
        <v>16.579999999999998</v>
      </c>
      <c r="L1363" s="39">
        <f t="shared" si="104"/>
        <v>6.0313630880579019E-2</v>
      </c>
      <c r="M1363" s="39">
        <f t="shared" si="105"/>
        <v>6.0313630880579019E-2</v>
      </c>
      <c r="P1363">
        <v>0</v>
      </c>
      <c r="Q1363">
        <v>0</v>
      </c>
      <c r="R1363" t="s">
        <v>2939</v>
      </c>
    </row>
    <row r="1364" spans="1:18" x14ac:dyDescent="0.3">
      <c r="A1364">
        <v>428</v>
      </c>
      <c r="B1364" t="s">
        <v>1208</v>
      </c>
      <c r="C1364" t="s">
        <v>190</v>
      </c>
      <c r="D1364" t="s">
        <v>27</v>
      </c>
      <c r="E1364" t="s">
        <v>41</v>
      </c>
      <c r="F1364" s="79">
        <v>45657</v>
      </c>
      <c r="G1364">
        <v>2024</v>
      </c>
      <c r="H1364" t="s">
        <v>23</v>
      </c>
      <c r="I1364" t="s">
        <v>30</v>
      </c>
      <c r="J1364">
        <v>1</v>
      </c>
      <c r="K1364">
        <v>18.53</v>
      </c>
      <c r="L1364" s="39">
        <f t="shared" si="104"/>
        <v>5.3966540744738258E-2</v>
      </c>
      <c r="M1364" s="39">
        <f t="shared" si="105"/>
        <v>5.3966540744738258E-2</v>
      </c>
      <c r="P1364">
        <v>0</v>
      </c>
      <c r="Q1364">
        <v>0</v>
      </c>
      <c r="R1364" t="s">
        <v>1210</v>
      </c>
    </row>
    <row r="1365" spans="1:18" x14ac:dyDescent="0.3">
      <c r="A1365">
        <v>428</v>
      </c>
      <c r="B1365" t="s">
        <v>1208</v>
      </c>
      <c r="C1365" t="s">
        <v>190</v>
      </c>
      <c r="D1365" t="s">
        <v>21</v>
      </c>
      <c r="E1365" t="s">
        <v>41</v>
      </c>
      <c r="F1365" s="79">
        <v>45838</v>
      </c>
      <c r="G1365">
        <v>2025</v>
      </c>
      <c r="H1365" t="s">
        <v>699</v>
      </c>
      <c r="I1365" t="s">
        <v>700</v>
      </c>
      <c r="J1365">
        <v>1</v>
      </c>
      <c r="K1365">
        <v>15.12</v>
      </c>
      <c r="L1365" s="39">
        <f t="shared" si="104"/>
        <v>6.6137566137566148E-2</v>
      </c>
      <c r="M1365" s="39">
        <f t="shared" si="105"/>
        <v>6.6137566137566148E-2</v>
      </c>
      <c r="N1365" t="s">
        <v>424</v>
      </c>
      <c r="O1365" t="s">
        <v>424</v>
      </c>
      <c r="P1365">
        <v>0</v>
      </c>
      <c r="Q1365">
        <v>1</v>
      </c>
      <c r="R1365" t="s">
        <v>2940</v>
      </c>
    </row>
    <row r="1366" spans="1:18" x14ac:dyDescent="0.3">
      <c r="A1366">
        <v>428</v>
      </c>
      <c r="B1366" t="s">
        <v>1208</v>
      </c>
      <c r="C1366" t="s">
        <v>190</v>
      </c>
      <c r="D1366" t="s">
        <v>21</v>
      </c>
      <c r="E1366" t="s">
        <v>41</v>
      </c>
      <c r="F1366" s="79">
        <v>46022</v>
      </c>
      <c r="G1366">
        <v>2025</v>
      </c>
      <c r="H1366" t="s">
        <v>23</v>
      </c>
      <c r="I1366" t="s">
        <v>32</v>
      </c>
      <c r="J1366">
        <v>1</v>
      </c>
      <c r="K1366">
        <v>17.88</v>
      </c>
      <c r="L1366" s="39">
        <f t="shared" si="104"/>
        <v>5.5928411633109625E-2</v>
      </c>
      <c r="M1366" s="39">
        <f t="shared" si="105"/>
        <v>5.5928411633109625E-2</v>
      </c>
      <c r="N1366" t="s">
        <v>424</v>
      </c>
      <c r="O1366" t="s">
        <v>424</v>
      </c>
      <c r="P1366">
        <v>0</v>
      </c>
      <c r="Q1366">
        <v>1</v>
      </c>
      <c r="R1366" t="s">
        <v>1211</v>
      </c>
    </row>
    <row r="1367" spans="1:18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0.76</v>
      </c>
      <c r="K1367">
        <v>0.3</v>
      </c>
      <c r="L1367" s="39">
        <f t="shared" si="104"/>
        <v>1.3</v>
      </c>
      <c r="M1367" s="39">
        <f t="shared" si="105"/>
        <v>2.5333333333333337</v>
      </c>
      <c r="N1367" t="s">
        <v>136</v>
      </c>
      <c r="O1367" t="s">
        <v>136</v>
      </c>
      <c r="P1367">
        <v>1</v>
      </c>
      <c r="Q1367">
        <v>1</v>
      </c>
      <c r="R1367" t="s">
        <v>2941</v>
      </c>
    </row>
    <row r="1368" spans="1:18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0.76</v>
      </c>
      <c r="K1368">
        <v>0.76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1</v>
      </c>
      <c r="Q1368">
        <v>1</v>
      </c>
      <c r="R1368" t="s">
        <v>1213</v>
      </c>
    </row>
    <row r="1369" spans="1:18" x14ac:dyDescent="0.3">
      <c r="A1369">
        <v>429</v>
      </c>
      <c r="B1369" t="s">
        <v>1212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0.76</v>
      </c>
      <c r="K1369">
        <v>0.66</v>
      </c>
      <c r="L1369" s="39">
        <f t="shared" si="104"/>
        <v>1.1515151515151514</v>
      </c>
      <c r="M1369" s="39">
        <f t="shared" si="105"/>
        <v>1.1515151515151514</v>
      </c>
      <c r="P1369">
        <v>0</v>
      </c>
      <c r="Q1369">
        <v>0</v>
      </c>
      <c r="R1369" t="s">
        <v>2942</v>
      </c>
    </row>
    <row r="1370" spans="1:18" x14ac:dyDescent="0.3">
      <c r="A1370">
        <v>429</v>
      </c>
      <c r="B1370" t="s">
        <v>1212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0.76</v>
      </c>
      <c r="K1370">
        <v>0.67</v>
      </c>
      <c r="L1370" s="39">
        <f t="shared" si="104"/>
        <v>1.1343283582089552</v>
      </c>
      <c r="M1370" s="39">
        <f t="shared" si="105"/>
        <v>1.1343283582089552</v>
      </c>
      <c r="P1370">
        <v>0</v>
      </c>
      <c r="Q1370">
        <v>0</v>
      </c>
      <c r="R1370" t="s">
        <v>1214</v>
      </c>
    </row>
    <row r="1371" spans="1:18" x14ac:dyDescent="0.3">
      <c r="A1371">
        <v>429</v>
      </c>
      <c r="B1371" t="s">
        <v>1212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0.76</v>
      </c>
      <c r="K1371">
        <v>0.59</v>
      </c>
      <c r="L1371" s="39">
        <f t="shared" si="104"/>
        <v>1.2881355932203391</v>
      </c>
      <c r="M1371" s="39">
        <f t="shared" si="105"/>
        <v>1.2881355932203391</v>
      </c>
      <c r="N1371" t="s">
        <v>136</v>
      </c>
      <c r="O1371" t="s">
        <v>136</v>
      </c>
      <c r="P1371">
        <v>2</v>
      </c>
      <c r="Q1371">
        <v>2</v>
      </c>
      <c r="R1371" t="s">
        <v>2943</v>
      </c>
    </row>
    <row r="1372" spans="1:18" x14ac:dyDescent="0.3">
      <c r="A1372">
        <v>429</v>
      </c>
      <c r="B1372" t="s">
        <v>1212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0.76</v>
      </c>
      <c r="K1372">
        <v>0.52</v>
      </c>
      <c r="L1372" s="39">
        <f t="shared" si="104"/>
        <v>1.3</v>
      </c>
      <c r="M1372" s="39">
        <f t="shared" si="105"/>
        <v>1.4615384615384615</v>
      </c>
      <c r="N1372" t="s">
        <v>136</v>
      </c>
      <c r="O1372" t="s">
        <v>136</v>
      </c>
      <c r="P1372">
        <v>2</v>
      </c>
      <c r="Q1372">
        <v>2</v>
      </c>
      <c r="R1372" t="s">
        <v>1215</v>
      </c>
    </row>
    <row r="1373" spans="1:18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45107</v>
      </c>
      <c r="G1373">
        <v>2023</v>
      </c>
      <c r="H1373" t="s">
        <v>699</v>
      </c>
      <c r="I1373" t="s">
        <v>1512</v>
      </c>
      <c r="J1373">
        <v>95</v>
      </c>
      <c r="K1373">
        <v>104.59563552424</v>
      </c>
      <c r="L1373" s="39">
        <f t="shared" si="104"/>
        <v>1.101006689728842</v>
      </c>
      <c r="M1373" s="39">
        <f t="shared" si="105"/>
        <v>1.101006689728842</v>
      </c>
      <c r="N1373" t="s">
        <v>205</v>
      </c>
      <c r="O1373" t="s">
        <v>205</v>
      </c>
      <c r="P1373">
        <v>0</v>
      </c>
      <c r="Q1373">
        <v>0</v>
      </c>
      <c r="R1373" t="s">
        <v>2944</v>
      </c>
    </row>
    <row r="1374" spans="1:18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J1374">
        <v>95</v>
      </c>
      <c r="K1374">
        <v>101.39526345983001</v>
      </c>
      <c r="L1374" s="39">
        <f t="shared" si="104"/>
        <v>1.0673185627350528</v>
      </c>
      <c r="M1374" s="39">
        <f t="shared" si="105"/>
        <v>1.0673185627350528</v>
      </c>
      <c r="N1374" t="s">
        <v>205</v>
      </c>
      <c r="O1374" t="s">
        <v>205</v>
      </c>
      <c r="P1374">
        <v>0</v>
      </c>
      <c r="Q1374">
        <v>0</v>
      </c>
      <c r="R1374" t="s">
        <v>1217</v>
      </c>
    </row>
    <row r="1375" spans="1:18" x14ac:dyDescent="0.3">
      <c r="A1375">
        <v>430</v>
      </c>
      <c r="B1375" t="s">
        <v>1216</v>
      </c>
      <c r="C1375" t="s">
        <v>159</v>
      </c>
      <c r="D1375" t="s">
        <v>27</v>
      </c>
      <c r="E1375" t="s">
        <v>22</v>
      </c>
      <c r="F1375" s="79">
        <v>45473</v>
      </c>
      <c r="G1375">
        <v>2024</v>
      </c>
      <c r="H1375" t="s">
        <v>699</v>
      </c>
      <c r="I1375" t="s">
        <v>729</v>
      </c>
      <c r="J1375">
        <v>95</v>
      </c>
      <c r="K1375">
        <v>101.88</v>
      </c>
      <c r="L1375" s="39">
        <f t="shared" si="104"/>
        <v>1.0724210526315789</v>
      </c>
      <c r="M1375" s="39">
        <f t="shared" si="105"/>
        <v>1.0724210526315789</v>
      </c>
      <c r="N1375" t="s">
        <v>205</v>
      </c>
      <c r="O1375" t="s">
        <v>205</v>
      </c>
      <c r="P1375">
        <v>0</v>
      </c>
      <c r="Q1375">
        <v>0</v>
      </c>
      <c r="R1375" t="s">
        <v>2945</v>
      </c>
    </row>
    <row r="1376" spans="1:18" x14ac:dyDescent="0.3">
      <c r="A1376">
        <v>430</v>
      </c>
      <c r="B1376" t="s">
        <v>1216</v>
      </c>
      <c r="C1376" t="s">
        <v>159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95</v>
      </c>
      <c r="K1376">
        <v>102.9374919710379</v>
      </c>
      <c r="L1376" s="39">
        <f t="shared" si="104"/>
        <v>1.0835525470635567</v>
      </c>
      <c r="M1376" s="39">
        <f t="shared" si="105"/>
        <v>1.0835525470635567</v>
      </c>
      <c r="P1376">
        <v>0</v>
      </c>
      <c r="Q1376">
        <v>0</v>
      </c>
      <c r="R1376" t="s">
        <v>1218</v>
      </c>
    </row>
    <row r="1377" spans="1:18" x14ac:dyDescent="0.3">
      <c r="A1377">
        <v>430</v>
      </c>
      <c r="B1377" t="s">
        <v>1216</v>
      </c>
      <c r="C1377" t="s">
        <v>159</v>
      </c>
      <c r="D1377" t="s">
        <v>21</v>
      </c>
      <c r="E1377" t="s">
        <v>22</v>
      </c>
      <c r="F1377" s="79">
        <v>45838</v>
      </c>
      <c r="G1377">
        <v>2025</v>
      </c>
      <c r="H1377" t="s">
        <v>699</v>
      </c>
      <c r="I1377" t="s">
        <v>700</v>
      </c>
      <c r="J1377">
        <v>95</v>
      </c>
      <c r="K1377">
        <v>110.79</v>
      </c>
      <c r="L1377" s="39">
        <f t="shared" si="104"/>
        <v>1.1662105263157896</v>
      </c>
      <c r="M1377" s="39">
        <f t="shared" si="105"/>
        <v>1.1662105263157896</v>
      </c>
      <c r="N1377" t="s">
        <v>25</v>
      </c>
      <c r="O1377" t="s">
        <v>25</v>
      </c>
      <c r="P1377">
        <v>0</v>
      </c>
      <c r="Q1377">
        <v>0</v>
      </c>
      <c r="R1377" t="s">
        <v>2946</v>
      </c>
    </row>
    <row r="1378" spans="1:18" x14ac:dyDescent="0.3">
      <c r="A1378">
        <v>430</v>
      </c>
      <c r="B1378" t="s">
        <v>1216</v>
      </c>
      <c r="C1378" t="s">
        <v>159</v>
      </c>
      <c r="D1378" t="s">
        <v>21</v>
      </c>
      <c r="E1378" t="s">
        <v>22</v>
      </c>
      <c r="F1378" s="79">
        <v>46022</v>
      </c>
      <c r="G1378">
        <v>2025</v>
      </c>
      <c r="H1378" t="s">
        <v>23</v>
      </c>
      <c r="I1378" t="s">
        <v>32</v>
      </c>
      <c r="J1378">
        <v>95</v>
      </c>
      <c r="K1378">
        <v>111.76</v>
      </c>
      <c r="L1378" s="39">
        <f t="shared" si="104"/>
        <v>1.176421052631579</v>
      </c>
      <c r="M1378" s="39">
        <f t="shared" si="105"/>
        <v>1.176421052631579</v>
      </c>
      <c r="N1378" t="s">
        <v>25</v>
      </c>
      <c r="O1378" t="s">
        <v>25</v>
      </c>
      <c r="P1378">
        <v>0</v>
      </c>
      <c r="Q1378">
        <v>0</v>
      </c>
      <c r="R1378" t="s">
        <v>1219</v>
      </c>
    </row>
    <row r="1379" spans="1:18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45199</v>
      </c>
      <c r="G1379">
        <v>2023</v>
      </c>
      <c r="H1379" t="s">
        <v>162</v>
      </c>
      <c r="I1379" t="s">
        <v>28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N1379" t="s">
        <v>25</v>
      </c>
      <c r="O1379" t="s">
        <v>25</v>
      </c>
      <c r="P1379">
        <v>0</v>
      </c>
      <c r="Q1379">
        <v>0</v>
      </c>
      <c r="R1379" t="s">
        <v>2947</v>
      </c>
    </row>
    <row r="1380" spans="1:18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45291</v>
      </c>
      <c r="G1380">
        <v>2023</v>
      </c>
      <c r="H1380" t="s">
        <v>23</v>
      </c>
      <c r="I1380" t="s">
        <v>28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N1380" t="s">
        <v>25</v>
      </c>
      <c r="O1380" t="s">
        <v>25</v>
      </c>
      <c r="P1380">
        <v>0</v>
      </c>
      <c r="Q1380">
        <v>0</v>
      </c>
      <c r="R1380" t="s">
        <v>1221</v>
      </c>
    </row>
    <row r="1381" spans="1:18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45473</v>
      </c>
      <c r="G1381">
        <v>2024</v>
      </c>
      <c r="H1381" t="s">
        <v>699</v>
      </c>
      <c r="I1381" t="s">
        <v>729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P1381">
        <v>0</v>
      </c>
      <c r="Q1381">
        <v>0</v>
      </c>
      <c r="R1381" t="s">
        <v>2949</v>
      </c>
    </row>
    <row r="1382" spans="1:18" x14ac:dyDescent="0.3">
      <c r="A1382">
        <v>431</v>
      </c>
      <c r="B1382" t="s">
        <v>1220</v>
      </c>
      <c r="C1382" t="s">
        <v>70</v>
      </c>
      <c r="D1382" t="s">
        <v>21</v>
      </c>
      <c r="E1382" t="s">
        <v>22</v>
      </c>
      <c r="F1382" s="79">
        <v>45657</v>
      </c>
      <c r="G1382">
        <v>2024</v>
      </c>
      <c r="H1382" t="s">
        <v>23</v>
      </c>
      <c r="I1382" t="s">
        <v>30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P1382">
        <v>0</v>
      </c>
      <c r="Q1382">
        <v>0</v>
      </c>
      <c r="R1382" t="s">
        <v>1222</v>
      </c>
    </row>
    <row r="1383" spans="1:18" x14ac:dyDescent="0.3">
      <c r="A1383">
        <v>431</v>
      </c>
      <c r="B1383" t="s">
        <v>1220</v>
      </c>
      <c r="C1383" t="s">
        <v>70</v>
      </c>
      <c r="D1383" t="s">
        <v>21</v>
      </c>
      <c r="E1383" t="s">
        <v>22</v>
      </c>
      <c r="F1383" s="79">
        <v>45838</v>
      </c>
      <c r="G1383">
        <v>2025</v>
      </c>
      <c r="H1383" t="s">
        <v>699</v>
      </c>
      <c r="I1383" t="s">
        <v>700</v>
      </c>
      <c r="J1383">
        <v>100</v>
      </c>
      <c r="K1383">
        <v>100</v>
      </c>
      <c r="L1383" s="39">
        <f t="shared" si="104"/>
        <v>1</v>
      </c>
      <c r="M1383" s="39">
        <f t="shared" si="105"/>
        <v>1</v>
      </c>
      <c r="N1383" t="s">
        <v>25</v>
      </c>
      <c r="O1383" t="s">
        <v>25</v>
      </c>
      <c r="P1383">
        <v>0</v>
      </c>
      <c r="Q1383">
        <v>0</v>
      </c>
      <c r="R1383" t="s">
        <v>2952</v>
      </c>
    </row>
    <row r="1384" spans="1:18" x14ac:dyDescent="0.3">
      <c r="A1384">
        <v>431</v>
      </c>
      <c r="B1384" t="s">
        <v>1220</v>
      </c>
      <c r="C1384" t="s">
        <v>70</v>
      </c>
      <c r="D1384" t="s">
        <v>27</v>
      </c>
      <c r="E1384" t="s">
        <v>22</v>
      </c>
      <c r="F1384" s="79">
        <v>46022</v>
      </c>
      <c r="G1384">
        <v>2025</v>
      </c>
      <c r="H1384" t="s">
        <v>23</v>
      </c>
      <c r="I1384" t="s">
        <v>32</v>
      </c>
      <c r="J1384">
        <v>100</v>
      </c>
      <c r="K1384">
        <v>100</v>
      </c>
      <c r="L1384" s="39">
        <f t="shared" si="104"/>
        <v>1</v>
      </c>
      <c r="M1384" s="39">
        <f t="shared" si="105"/>
        <v>1</v>
      </c>
      <c r="N1384" t="s">
        <v>25</v>
      </c>
      <c r="O1384" t="s">
        <v>25</v>
      </c>
      <c r="P1384">
        <v>0</v>
      </c>
      <c r="Q1384">
        <v>0</v>
      </c>
      <c r="R1384" t="s">
        <v>1223</v>
      </c>
    </row>
    <row r="1385" spans="1:18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45291</v>
      </c>
      <c r="G1385">
        <v>2023</v>
      </c>
      <c r="H1385" t="s">
        <v>23</v>
      </c>
      <c r="I1385" t="s">
        <v>28</v>
      </c>
      <c r="J1385">
        <v>90</v>
      </c>
      <c r="K1385">
        <v>99.382777777778003</v>
      </c>
      <c r="L1385" s="39">
        <f t="shared" ref="L1385:L1416" si="106">IFERROR(IF(OR(J1385=0,K1385=""),"",IF(E1385="Positivo",MIN(MAX(K1385/J1385,0),1.3),MIN(MAX(J1385/K1385,0),1.3))),"")</f>
        <v>1.1042530864197555</v>
      </c>
      <c r="M1385" s="39">
        <f t="shared" ref="M1385:M1416" si="107">IFERROR(IF(OR(J1385=0,K1385=""),"",IF(E1385="Positivo",MAX(K1385/J1385,0),MAX(J1385/K1385,0))),"")</f>
        <v>1.1042530864197555</v>
      </c>
      <c r="N1385" t="s">
        <v>25</v>
      </c>
      <c r="O1385" t="s">
        <v>25</v>
      </c>
      <c r="P1385">
        <v>0</v>
      </c>
      <c r="Q1385">
        <v>0</v>
      </c>
      <c r="R1385" t="s">
        <v>1225</v>
      </c>
    </row>
    <row r="1386" spans="1:18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45473</v>
      </c>
      <c r="G1386">
        <v>2024</v>
      </c>
      <c r="H1386" t="s">
        <v>699</v>
      </c>
      <c r="I1386" t="s">
        <v>729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P1386">
        <v>0</v>
      </c>
      <c r="Q1386">
        <v>0</v>
      </c>
      <c r="R1386" t="s">
        <v>2957</v>
      </c>
    </row>
    <row r="1387" spans="1:18" x14ac:dyDescent="0.3">
      <c r="A1387">
        <v>432</v>
      </c>
      <c r="B1387" t="s">
        <v>1224</v>
      </c>
      <c r="C1387" t="s">
        <v>70</v>
      </c>
      <c r="D1387" t="s">
        <v>21</v>
      </c>
      <c r="E1387" t="s">
        <v>22</v>
      </c>
      <c r="F1387" s="79">
        <v>45657</v>
      </c>
      <c r="G1387">
        <v>2024</v>
      </c>
      <c r="H1387" t="s">
        <v>23</v>
      </c>
      <c r="I1387" t="s">
        <v>30</v>
      </c>
      <c r="J1387">
        <v>90</v>
      </c>
      <c r="K1387">
        <v>50</v>
      </c>
      <c r="L1387" s="39">
        <f t="shared" si="106"/>
        <v>0.55555555555555558</v>
      </c>
      <c r="M1387" s="39">
        <f t="shared" si="107"/>
        <v>0.55555555555555558</v>
      </c>
      <c r="P1387">
        <v>0</v>
      </c>
      <c r="Q1387">
        <v>0</v>
      </c>
      <c r="R1387" t="s">
        <v>1226</v>
      </c>
    </row>
    <row r="1388" spans="1:18" x14ac:dyDescent="0.3">
      <c r="A1388">
        <v>432</v>
      </c>
      <c r="B1388" t="s">
        <v>1224</v>
      </c>
      <c r="C1388" t="s">
        <v>70</v>
      </c>
      <c r="D1388" t="s">
        <v>21</v>
      </c>
      <c r="E1388" t="s">
        <v>22</v>
      </c>
      <c r="F1388" s="79">
        <v>45838</v>
      </c>
      <c r="G1388">
        <v>2025</v>
      </c>
      <c r="H1388" t="s">
        <v>699</v>
      </c>
      <c r="I1388" t="s">
        <v>700</v>
      </c>
      <c r="J1388">
        <v>90</v>
      </c>
      <c r="K1388">
        <v>100</v>
      </c>
      <c r="L1388" s="39">
        <f t="shared" si="106"/>
        <v>1.1111111111111112</v>
      </c>
      <c r="M1388" s="39">
        <f t="shared" si="107"/>
        <v>1.1111111111111112</v>
      </c>
      <c r="N1388" t="s">
        <v>25</v>
      </c>
      <c r="O1388" t="s">
        <v>25</v>
      </c>
      <c r="P1388">
        <v>0</v>
      </c>
      <c r="Q1388">
        <v>0</v>
      </c>
      <c r="R1388" t="s">
        <v>2960</v>
      </c>
    </row>
    <row r="1389" spans="1:18" x14ac:dyDescent="0.3">
      <c r="A1389">
        <v>432</v>
      </c>
      <c r="B1389" t="s">
        <v>1224</v>
      </c>
      <c r="C1389" t="s">
        <v>70</v>
      </c>
      <c r="D1389" t="s">
        <v>27</v>
      </c>
      <c r="E1389" t="s">
        <v>22</v>
      </c>
      <c r="F1389" s="79">
        <v>46022</v>
      </c>
      <c r="G1389">
        <v>2025</v>
      </c>
      <c r="H1389" t="s">
        <v>23</v>
      </c>
      <c r="I1389" t="s">
        <v>32</v>
      </c>
      <c r="J1389">
        <v>90</v>
      </c>
      <c r="K1389">
        <v>100</v>
      </c>
      <c r="L1389" s="39">
        <f t="shared" si="106"/>
        <v>1.1111111111111112</v>
      </c>
      <c r="M1389" s="39">
        <f t="shared" si="107"/>
        <v>1.1111111111111112</v>
      </c>
      <c r="N1389" t="s">
        <v>25</v>
      </c>
      <c r="O1389" t="s">
        <v>25</v>
      </c>
      <c r="P1389">
        <v>0</v>
      </c>
      <c r="Q1389">
        <v>0</v>
      </c>
      <c r="R1389" t="s">
        <v>1227</v>
      </c>
    </row>
    <row r="1390" spans="1:18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45107</v>
      </c>
      <c r="G1390">
        <v>2023</v>
      </c>
      <c r="H1390" t="s">
        <v>699</v>
      </c>
      <c r="I1390" t="s">
        <v>1512</v>
      </c>
      <c r="J1390">
        <v>0.05</v>
      </c>
      <c r="K1390">
        <v>0.02</v>
      </c>
      <c r="L1390" s="39">
        <f t="shared" si="106"/>
        <v>1.3</v>
      </c>
      <c r="M1390" s="39">
        <f t="shared" si="107"/>
        <v>2.5</v>
      </c>
      <c r="N1390" t="s">
        <v>136</v>
      </c>
      <c r="O1390" t="s">
        <v>136</v>
      </c>
      <c r="P1390">
        <v>2</v>
      </c>
      <c r="Q1390">
        <v>2</v>
      </c>
      <c r="R1390" t="s">
        <v>2962</v>
      </c>
    </row>
    <row r="1391" spans="1:18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45291</v>
      </c>
      <c r="G1391">
        <v>2023</v>
      </c>
      <c r="H1391" t="s">
        <v>23</v>
      </c>
      <c r="I1391" t="s">
        <v>28</v>
      </c>
      <c r="J1391">
        <v>0.05</v>
      </c>
      <c r="K1391">
        <v>0.05</v>
      </c>
      <c r="L1391" s="39">
        <f t="shared" si="106"/>
        <v>1</v>
      </c>
      <c r="M1391" s="39">
        <f t="shared" si="107"/>
        <v>1</v>
      </c>
      <c r="N1391" t="s">
        <v>136</v>
      </c>
      <c r="O1391" t="s">
        <v>136</v>
      </c>
      <c r="P1391">
        <v>2</v>
      </c>
      <c r="Q1391">
        <v>2</v>
      </c>
      <c r="R1391" t="s">
        <v>1229</v>
      </c>
    </row>
    <row r="1392" spans="1:18" x14ac:dyDescent="0.3">
      <c r="A1392">
        <v>433</v>
      </c>
      <c r="B1392" t="s">
        <v>1228</v>
      </c>
      <c r="C1392" t="s">
        <v>190</v>
      </c>
      <c r="D1392" t="s">
        <v>27</v>
      </c>
      <c r="E1392" t="s">
        <v>41</v>
      </c>
      <c r="F1392" s="79">
        <v>45473</v>
      </c>
      <c r="G1392">
        <v>2024</v>
      </c>
      <c r="H1392" t="s">
        <v>699</v>
      </c>
      <c r="I1392" t="s">
        <v>729</v>
      </c>
      <c r="J1392">
        <v>0.05</v>
      </c>
      <c r="K1392">
        <v>7.0000000000000007E-2</v>
      </c>
      <c r="L1392" s="39">
        <f t="shared" si="106"/>
        <v>0.7142857142857143</v>
      </c>
      <c r="M1392" s="39">
        <f t="shared" si="107"/>
        <v>0.7142857142857143</v>
      </c>
      <c r="P1392">
        <v>0</v>
      </c>
      <c r="Q1392">
        <v>0</v>
      </c>
      <c r="R1392" t="s">
        <v>2963</v>
      </c>
    </row>
    <row r="1393" spans="1:18" x14ac:dyDescent="0.3">
      <c r="A1393">
        <v>433</v>
      </c>
      <c r="B1393" t="s">
        <v>1228</v>
      </c>
      <c r="C1393" t="s">
        <v>190</v>
      </c>
      <c r="D1393" t="s">
        <v>27</v>
      </c>
      <c r="E1393" t="s">
        <v>41</v>
      </c>
      <c r="F1393" s="79">
        <v>45657</v>
      </c>
      <c r="G1393">
        <v>2024</v>
      </c>
      <c r="H1393" t="s">
        <v>23</v>
      </c>
      <c r="I1393" t="s">
        <v>30</v>
      </c>
      <c r="J1393">
        <v>0.05</v>
      </c>
      <c r="K1393">
        <v>0.14000000000000001</v>
      </c>
      <c r="L1393" s="39">
        <f t="shared" si="106"/>
        <v>0.35714285714285715</v>
      </c>
      <c r="M1393" s="39">
        <f t="shared" si="107"/>
        <v>0.35714285714285715</v>
      </c>
      <c r="P1393">
        <v>0</v>
      </c>
      <c r="Q1393">
        <v>0</v>
      </c>
      <c r="R1393" t="s">
        <v>1230</v>
      </c>
    </row>
    <row r="1394" spans="1:18" x14ac:dyDescent="0.3">
      <c r="A1394">
        <v>433</v>
      </c>
      <c r="B1394" t="s">
        <v>1228</v>
      </c>
      <c r="C1394" t="s">
        <v>190</v>
      </c>
      <c r="D1394" t="s">
        <v>21</v>
      </c>
      <c r="E1394" t="s">
        <v>41</v>
      </c>
      <c r="F1394" s="79">
        <v>45838</v>
      </c>
      <c r="G1394">
        <v>2025</v>
      </c>
      <c r="H1394" t="s">
        <v>699</v>
      </c>
      <c r="I1394" t="s">
        <v>700</v>
      </c>
      <c r="J1394">
        <v>0.05</v>
      </c>
      <c r="K1394">
        <v>0.02</v>
      </c>
      <c r="L1394" s="39">
        <f t="shared" si="106"/>
        <v>1.3</v>
      </c>
      <c r="M1394" s="39">
        <f t="shared" si="107"/>
        <v>2.5</v>
      </c>
      <c r="N1394" t="s">
        <v>136</v>
      </c>
      <c r="O1394" t="s">
        <v>136</v>
      </c>
      <c r="P1394">
        <v>2</v>
      </c>
      <c r="Q1394">
        <v>2</v>
      </c>
      <c r="R1394" t="s">
        <v>2964</v>
      </c>
    </row>
    <row r="1395" spans="1:18" x14ac:dyDescent="0.3">
      <c r="A1395">
        <v>433</v>
      </c>
      <c r="B1395" t="s">
        <v>1228</v>
      </c>
      <c r="C1395" t="s">
        <v>190</v>
      </c>
      <c r="D1395" t="s">
        <v>21</v>
      </c>
      <c r="E1395" t="s">
        <v>41</v>
      </c>
      <c r="F1395" s="79">
        <v>46022</v>
      </c>
      <c r="G1395">
        <v>2025</v>
      </c>
      <c r="H1395" t="s">
        <v>23</v>
      </c>
      <c r="I1395" t="s">
        <v>32</v>
      </c>
      <c r="J1395">
        <v>0.05</v>
      </c>
      <c r="K1395">
        <v>0.17</v>
      </c>
      <c r="L1395" s="39">
        <f t="shared" si="106"/>
        <v>0.29411764705882354</v>
      </c>
      <c r="M1395" s="39">
        <f t="shared" si="107"/>
        <v>0.29411764705882354</v>
      </c>
      <c r="N1395" t="s">
        <v>136</v>
      </c>
      <c r="O1395" t="s">
        <v>136</v>
      </c>
      <c r="P1395">
        <v>2</v>
      </c>
      <c r="Q1395">
        <v>2</v>
      </c>
      <c r="R1395" t="s">
        <v>1231</v>
      </c>
    </row>
    <row r="1396" spans="1:18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45107</v>
      </c>
      <c r="G1396">
        <v>2023</v>
      </c>
      <c r="H1396" t="s">
        <v>699</v>
      </c>
      <c r="I1396" t="s">
        <v>1512</v>
      </c>
      <c r="J1396">
        <v>1200</v>
      </c>
      <c r="K1396">
        <v>18.5</v>
      </c>
      <c r="L1396" s="39">
        <f t="shared" si="106"/>
        <v>1.3</v>
      </c>
      <c r="M1396" s="39">
        <f t="shared" si="107"/>
        <v>64.86486486486487</v>
      </c>
      <c r="N1396" t="s">
        <v>403</v>
      </c>
      <c r="O1396" t="s">
        <v>403</v>
      </c>
      <c r="P1396">
        <v>0</v>
      </c>
      <c r="Q1396">
        <v>0</v>
      </c>
      <c r="R1396" t="s">
        <v>2970</v>
      </c>
    </row>
    <row r="1397" spans="1:18" x14ac:dyDescent="0.3">
      <c r="A1397">
        <v>434</v>
      </c>
      <c r="B1397" t="s">
        <v>1232</v>
      </c>
      <c r="C1397" t="s">
        <v>190</v>
      </c>
      <c r="D1397" t="s">
        <v>54</v>
      </c>
      <c r="E1397" t="s">
        <v>41</v>
      </c>
      <c r="F1397" s="79">
        <v>45199</v>
      </c>
      <c r="G1397">
        <v>2023</v>
      </c>
      <c r="H1397" t="s">
        <v>162</v>
      </c>
      <c r="I1397" t="s">
        <v>28</v>
      </c>
      <c r="J1397">
        <v>1200</v>
      </c>
      <c r="K1397">
        <v>2275.63</v>
      </c>
      <c r="L1397" s="39">
        <f t="shared" si="106"/>
        <v>0.52732649859599312</v>
      </c>
      <c r="M1397" s="39">
        <f t="shared" si="107"/>
        <v>0.52732649859599312</v>
      </c>
      <c r="P1397">
        <v>1</v>
      </c>
      <c r="Q1397">
        <v>1</v>
      </c>
      <c r="R1397" t="s">
        <v>2973</v>
      </c>
    </row>
    <row r="1398" spans="1:18" x14ac:dyDescent="0.3">
      <c r="A1398">
        <v>434</v>
      </c>
      <c r="B1398" t="s">
        <v>1232</v>
      </c>
      <c r="C1398" t="s">
        <v>190</v>
      </c>
      <c r="D1398" t="s">
        <v>54</v>
      </c>
      <c r="E1398" t="s">
        <v>41</v>
      </c>
      <c r="F1398" s="79">
        <v>45230</v>
      </c>
      <c r="G1398">
        <v>2023</v>
      </c>
      <c r="H1398" t="s">
        <v>150</v>
      </c>
      <c r="I1398" t="s">
        <v>28</v>
      </c>
      <c r="J1398">
        <v>1200</v>
      </c>
      <c r="K1398">
        <v>2275.63</v>
      </c>
      <c r="L1398" s="39">
        <f t="shared" si="106"/>
        <v>0.52732649859599312</v>
      </c>
      <c r="M1398" s="39">
        <f t="shared" si="107"/>
        <v>0.52732649859599312</v>
      </c>
      <c r="P1398">
        <v>1</v>
      </c>
      <c r="Q1398">
        <v>1</v>
      </c>
      <c r="R1398" t="s">
        <v>2974</v>
      </c>
    </row>
    <row r="1399" spans="1:18" x14ac:dyDescent="0.3">
      <c r="A1399">
        <v>434</v>
      </c>
      <c r="B1399" t="s">
        <v>1232</v>
      </c>
      <c r="C1399" t="s">
        <v>190</v>
      </c>
      <c r="D1399" t="s">
        <v>54</v>
      </c>
      <c r="E1399" t="s">
        <v>41</v>
      </c>
      <c r="F1399" s="79">
        <v>45260</v>
      </c>
      <c r="G1399">
        <v>2023</v>
      </c>
      <c r="H1399" t="s">
        <v>1550</v>
      </c>
      <c r="I1399" t="s">
        <v>28</v>
      </c>
      <c r="J1399">
        <v>1200</v>
      </c>
      <c r="K1399">
        <v>2275.63</v>
      </c>
      <c r="L1399" s="39">
        <f t="shared" si="106"/>
        <v>0.52732649859599312</v>
      </c>
      <c r="M1399" s="39">
        <f t="shared" si="107"/>
        <v>0.52732649859599312</v>
      </c>
      <c r="P1399">
        <v>1</v>
      </c>
      <c r="Q1399">
        <v>1</v>
      </c>
      <c r="R1399" t="s">
        <v>2975</v>
      </c>
    </row>
    <row r="1400" spans="1:18" x14ac:dyDescent="0.3">
      <c r="A1400">
        <v>434</v>
      </c>
      <c r="B1400" t="s">
        <v>1232</v>
      </c>
      <c r="C1400" t="s">
        <v>190</v>
      </c>
      <c r="D1400" t="s">
        <v>54</v>
      </c>
      <c r="E1400" t="s">
        <v>41</v>
      </c>
      <c r="F1400" s="79">
        <v>45291</v>
      </c>
      <c r="G1400">
        <v>2023</v>
      </c>
      <c r="H1400" t="s">
        <v>23</v>
      </c>
      <c r="I1400" t="s">
        <v>28</v>
      </c>
      <c r="J1400">
        <v>1200</v>
      </c>
      <c r="K1400">
        <v>2275.63</v>
      </c>
      <c r="L1400" s="39">
        <f t="shared" si="106"/>
        <v>0.52732649859599312</v>
      </c>
      <c r="M1400" s="39">
        <f t="shared" si="107"/>
        <v>0.52732649859599312</v>
      </c>
      <c r="P1400">
        <v>1</v>
      </c>
      <c r="Q1400">
        <v>1</v>
      </c>
      <c r="R1400" t="s">
        <v>1233</v>
      </c>
    </row>
    <row r="1401" spans="1:18" x14ac:dyDescent="0.3">
      <c r="A1401">
        <v>434</v>
      </c>
      <c r="B1401" t="s">
        <v>1234</v>
      </c>
      <c r="C1401" t="s">
        <v>190</v>
      </c>
      <c r="D1401" t="s">
        <v>54</v>
      </c>
      <c r="E1401" t="s">
        <v>41</v>
      </c>
      <c r="F1401" s="79">
        <v>45473</v>
      </c>
      <c r="G1401">
        <v>2024</v>
      </c>
      <c r="H1401" t="s">
        <v>699</v>
      </c>
      <c r="I1401" t="s">
        <v>729</v>
      </c>
      <c r="J1401">
        <v>1200</v>
      </c>
      <c r="K1401">
        <v>3489.51</v>
      </c>
      <c r="L1401" s="39">
        <f t="shared" si="106"/>
        <v>0.34388782379187904</v>
      </c>
      <c r="M1401" s="39">
        <f t="shared" si="107"/>
        <v>0.34388782379187904</v>
      </c>
      <c r="P1401">
        <v>0</v>
      </c>
      <c r="Q1401">
        <v>0</v>
      </c>
      <c r="R1401" t="s">
        <v>2981</v>
      </c>
    </row>
    <row r="1402" spans="1:18" x14ac:dyDescent="0.3">
      <c r="A1402">
        <v>434</v>
      </c>
      <c r="B1402" t="s">
        <v>1234</v>
      </c>
      <c r="C1402" t="s">
        <v>190</v>
      </c>
      <c r="D1402" t="s">
        <v>54</v>
      </c>
      <c r="E1402" t="s">
        <v>41</v>
      </c>
      <c r="F1402" s="79">
        <v>45657</v>
      </c>
      <c r="G1402">
        <v>2024</v>
      </c>
      <c r="H1402" t="s">
        <v>23</v>
      </c>
      <c r="I1402" t="s">
        <v>30</v>
      </c>
      <c r="J1402">
        <v>1200</v>
      </c>
      <c r="K1402">
        <v>1937.73</v>
      </c>
      <c r="L1402" s="39">
        <f t="shared" si="106"/>
        <v>0.6192813240234708</v>
      </c>
      <c r="M1402" s="39">
        <f t="shared" si="107"/>
        <v>0.6192813240234708</v>
      </c>
      <c r="P1402">
        <v>0</v>
      </c>
      <c r="Q1402">
        <v>0</v>
      </c>
      <c r="R1402" t="s">
        <v>1235</v>
      </c>
    </row>
    <row r="1403" spans="1:18" x14ac:dyDescent="0.3">
      <c r="A1403">
        <v>434</v>
      </c>
      <c r="B1403" t="s">
        <v>1234</v>
      </c>
      <c r="C1403" t="s">
        <v>190</v>
      </c>
      <c r="D1403" t="s">
        <v>54</v>
      </c>
      <c r="E1403" t="s">
        <v>41</v>
      </c>
      <c r="F1403" s="79">
        <v>45838</v>
      </c>
      <c r="G1403">
        <v>2025</v>
      </c>
      <c r="H1403" t="s">
        <v>699</v>
      </c>
      <c r="I1403" t="s">
        <v>700</v>
      </c>
      <c r="J1403">
        <v>1200</v>
      </c>
      <c r="K1403">
        <v>2467.36</v>
      </c>
      <c r="L1403" s="39">
        <f t="shared" si="106"/>
        <v>0.48634978276376367</v>
      </c>
      <c r="M1403" s="39">
        <f t="shared" si="107"/>
        <v>0.48634978276376367</v>
      </c>
      <c r="N1403" t="s">
        <v>403</v>
      </c>
      <c r="O1403" t="s">
        <v>403</v>
      </c>
      <c r="P1403">
        <v>0</v>
      </c>
      <c r="Q1403">
        <v>0</v>
      </c>
      <c r="R1403" t="s">
        <v>2992</v>
      </c>
    </row>
    <row r="1404" spans="1:18" x14ac:dyDescent="0.3">
      <c r="A1404">
        <v>434</v>
      </c>
      <c r="B1404" t="s">
        <v>1234</v>
      </c>
      <c r="C1404" t="s">
        <v>190</v>
      </c>
      <c r="D1404" t="s">
        <v>54</v>
      </c>
      <c r="E1404" t="s">
        <v>41</v>
      </c>
      <c r="F1404" s="79">
        <v>46022</v>
      </c>
      <c r="G1404">
        <v>2025</v>
      </c>
      <c r="H1404" t="s">
        <v>23</v>
      </c>
      <c r="I1404" t="s">
        <v>32</v>
      </c>
      <c r="J1404">
        <v>1200</v>
      </c>
      <c r="K1404">
        <v>5316.2</v>
      </c>
      <c r="L1404" s="39">
        <f t="shared" si="106"/>
        <v>0.2257251420187352</v>
      </c>
      <c r="M1404" s="39">
        <f t="shared" si="107"/>
        <v>0.2257251420187352</v>
      </c>
      <c r="N1404" t="s">
        <v>403</v>
      </c>
      <c r="O1404" t="s">
        <v>403</v>
      </c>
      <c r="P1404">
        <v>0</v>
      </c>
      <c r="Q1404">
        <v>0</v>
      </c>
      <c r="R1404" t="s">
        <v>1236</v>
      </c>
    </row>
    <row r="1405" spans="1:18" x14ac:dyDescent="0.3">
      <c r="A1405">
        <v>435</v>
      </c>
      <c r="B1405" t="s">
        <v>1237</v>
      </c>
      <c r="C1405" t="s">
        <v>190</v>
      </c>
      <c r="D1405" t="s">
        <v>27</v>
      </c>
      <c r="E1405" t="s">
        <v>22</v>
      </c>
      <c r="F1405" s="79">
        <v>45107</v>
      </c>
      <c r="G1405">
        <v>2023</v>
      </c>
      <c r="H1405" t="s">
        <v>699</v>
      </c>
      <c r="I1405" t="s">
        <v>1512</v>
      </c>
      <c r="J1405">
        <v>100</v>
      </c>
      <c r="K1405">
        <v>0.43352601156068998</v>
      </c>
      <c r="L1405" s="39">
        <f t="shared" si="106"/>
        <v>4.3352601156068996E-3</v>
      </c>
      <c r="M1405" s="39">
        <f t="shared" si="107"/>
        <v>4.3352601156068996E-3</v>
      </c>
      <c r="N1405" t="s">
        <v>136</v>
      </c>
      <c r="O1405" t="s">
        <v>136</v>
      </c>
      <c r="P1405">
        <v>2</v>
      </c>
      <c r="Q1405">
        <v>2</v>
      </c>
      <c r="R1405" t="s">
        <v>2998</v>
      </c>
    </row>
    <row r="1406" spans="1:18" x14ac:dyDescent="0.3">
      <c r="A1406">
        <v>435</v>
      </c>
      <c r="B1406" t="s">
        <v>1237</v>
      </c>
      <c r="C1406" t="s">
        <v>190</v>
      </c>
      <c r="D1406" t="s">
        <v>27</v>
      </c>
      <c r="E1406" t="s">
        <v>22</v>
      </c>
      <c r="F1406" s="79">
        <v>45291</v>
      </c>
      <c r="G1406">
        <v>2023</v>
      </c>
      <c r="H1406" t="s">
        <v>23</v>
      </c>
      <c r="I1406" t="s">
        <v>28</v>
      </c>
      <c r="J1406">
        <v>100</v>
      </c>
      <c r="K1406">
        <v>-111.57</v>
      </c>
      <c r="L1406" s="39">
        <f t="shared" si="106"/>
        <v>0</v>
      </c>
      <c r="M1406" s="39">
        <f t="shared" si="107"/>
        <v>0</v>
      </c>
      <c r="N1406" t="s">
        <v>136</v>
      </c>
      <c r="O1406" t="s">
        <v>136</v>
      </c>
      <c r="P1406">
        <v>2</v>
      </c>
      <c r="Q1406">
        <v>2</v>
      </c>
      <c r="R1406" t="s">
        <v>1238</v>
      </c>
    </row>
    <row r="1407" spans="1:18" x14ac:dyDescent="0.3">
      <c r="A1407">
        <v>435</v>
      </c>
      <c r="B1407" t="s">
        <v>1237</v>
      </c>
      <c r="C1407" t="s">
        <v>190</v>
      </c>
      <c r="D1407" t="s">
        <v>27</v>
      </c>
      <c r="E1407" t="s">
        <v>22</v>
      </c>
      <c r="F1407" s="79">
        <v>45473</v>
      </c>
      <c r="G1407">
        <v>2024</v>
      </c>
      <c r="H1407" t="s">
        <v>699</v>
      </c>
      <c r="I1407" t="s">
        <v>729</v>
      </c>
      <c r="J1407">
        <v>100</v>
      </c>
      <c r="K1407">
        <v>-20.67</v>
      </c>
      <c r="L1407" s="39">
        <f t="shared" si="106"/>
        <v>0</v>
      </c>
      <c r="M1407" s="39">
        <f t="shared" si="107"/>
        <v>0</v>
      </c>
      <c r="P1407">
        <v>0</v>
      </c>
      <c r="Q1407">
        <v>0</v>
      </c>
      <c r="R1407" t="s">
        <v>2999</v>
      </c>
    </row>
    <row r="1408" spans="1:18" x14ac:dyDescent="0.3">
      <c r="A1408">
        <v>435</v>
      </c>
      <c r="B1408" t="s">
        <v>1237</v>
      </c>
      <c r="C1408" t="s">
        <v>190</v>
      </c>
      <c r="D1408" t="s">
        <v>27</v>
      </c>
      <c r="E1408" t="s">
        <v>22</v>
      </c>
      <c r="F1408" s="79">
        <v>45657</v>
      </c>
      <c r="G1408">
        <v>2024</v>
      </c>
      <c r="H1408" t="s">
        <v>23</v>
      </c>
      <c r="I1408" t="s">
        <v>30</v>
      </c>
      <c r="J1408">
        <v>100</v>
      </c>
      <c r="K1408">
        <v>71.09</v>
      </c>
      <c r="L1408" s="39">
        <f t="shared" si="106"/>
        <v>0.71090000000000009</v>
      </c>
      <c r="M1408" s="39">
        <f t="shared" si="107"/>
        <v>0.71090000000000009</v>
      </c>
      <c r="P1408">
        <v>0</v>
      </c>
      <c r="Q1408">
        <v>0</v>
      </c>
      <c r="R1408" t="s">
        <v>1239</v>
      </c>
    </row>
    <row r="1409" spans="1:18" x14ac:dyDescent="0.3">
      <c r="A1409">
        <v>435</v>
      </c>
      <c r="B1409" t="s">
        <v>1237</v>
      </c>
      <c r="C1409" t="s">
        <v>190</v>
      </c>
      <c r="D1409" t="s">
        <v>21</v>
      </c>
      <c r="E1409" t="s">
        <v>22</v>
      </c>
      <c r="F1409" s="79">
        <v>45838</v>
      </c>
      <c r="G1409">
        <v>2025</v>
      </c>
      <c r="H1409" t="s">
        <v>699</v>
      </c>
      <c r="I1409" t="s">
        <v>700</v>
      </c>
      <c r="J1409">
        <v>1</v>
      </c>
      <c r="K1409">
        <v>96.09</v>
      </c>
      <c r="L1409" s="39">
        <f t="shared" si="106"/>
        <v>1.3</v>
      </c>
      <c r="M1409" s="39">
        <f t="shared" si="107"/>
        <v>96.09</v>
      </c>
      <c r="N1409" t="s">
        <v>25</v>
      </c>
      <c r="O1409" t="s">
        <v>25</v>
      </c>
      <c r="P1409">
        <v>2</v>
      </c>
      <c r="Q1409">
        <v>2</v>
      </c>
      <c r="R1409" t="s">
        <v>3000</v>
      </c>
    </row>
    <row r="1410" spans="1:18" x14ac:dyDescent="0.3">
      <c r="A1410">
        <v>435</v>
      </c>
      <c r="B1410" t="s">
        <v>1237</v>
      </c>
      <c r="C1410" t="s">
        <v>190</v>
      </c>
      <c r="D1410" t="s">
        <v>21</v>
      </c>
      <c r="E1410" t="s">
        <v>22</v>
      </c>
      <c r="F1410" s="79">
        <v>46022</v>
      </c>
      <c r="G1410">
        <v>2025</v>
      </c>
      <c r="H1410" t="s">
        <v>23</v>
      </c>
      <c r="I1410" t="s">
        <v>32</v>
      </c>
      <c r="J1410">
        <v>1</v>
      </c>
      <c r="K1410">
        <v>-732.08</v>
      </c>
      <c r="L1410" s="39">
        <f t="shared" si="106"/>
        <v>0</v>
      </c>
      <c r="M1410" s="39">
        <f t="shared" si="107"/>
        <v>0</v>
      </c>
      <c r="N1410" t="s">
        <v>25</v>
      </c>
      <c r="O1410" t="s">
        <v>25</v>
      </c>
      <c r="P1410">
        <v>2</v>
      </c>
      <c r="Q1410">
        <v>2</v>
      </c>
      <c r="R1410" t="s">
        <v>1240</v>
      </c>
    </row>
    <row r="1411" spans="1:18" x14ac:dyDescent="0.3">
      <c r="A1411">
        <v>436</v>
      </c>
      <c r="B1411" t="s">
        <v>1241</v>
      </c>
      <c r="C1411" t="s">
        <v>198</v>
      </c>
      <c r="D1411" t="s">
        <v>54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21</v>
      </c>
      <c r="K1411">
        <v>11.06833333333333</v>
      </c>
      <c r="L1411" s="39">
        <f t="shared" si="106"/>
        <v>1.3</v>
      </c>
      <c r="M1411" s="39">
        <f t="shared" si="107"/>
        <v>1.8973046227977721</v>
      </c>
      <c r="N1411" t="s">
        <v>42</v>
      </c>
      <c r="O1411" t="s">
        <v>42</v>
      </c>
      <c r="P1411">
        <v>1</v>
      </c>
      <c r="Q1411">
        <v>1</v>
      </c>
      <c r="R1411" t="s">
        <v>1242</v>
      </c>
    </row>
    <row r="1412" spans="1:18" x14ac:dyDescent="0.3">
      <c r="A1412">
        <v>436</v>
      </c>
      <c r="B1412" t="s">
        <v>1241</v>
      </c>
      <c r="C1412" t="s">
        <v>198</v>
      </c>
      <c r="D1412" t="s">
        <v>54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14</v>
      </c>
      <c r="K1412">
        <v>11.56666666666667</v>
      </c>
      <c r="L1412" s="39">
        <f t="shared" si="106"/>
        <v>1.2103746397694521</v>
      </c>
      <c r="M1412" s="39">
        <f t="shared" si="107"/>
        <v>1.2103746397694521</v>
      </c>
      <c r="P1412">
        <v>0</v>
      </c>
      <c r="Q1412">
        <v>0</v>
      </c>
      <c r="R1412" t="s">
        <v>3017</v>
      </c>
    </row>
    <row r="1413" spans="1:18" x14ac:dyDescent="0.3">
      <c r="A1413">
        <v>436</v>
      </c>
      <c r="B1413" t="s">
        <v>1241</v>
      </c>
      <c r="C1413" t="s">
        <v>198</v>
      </c>
      <c r="D1413" t="s">
        <v>54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14</v>
      </c>
      <c r="K1413">
        <v>10.561666666666669</v>
      </c>
      <c r="L1413" s="39">
        <f t="shared" si="106"/>
        <v>1.3</v>
      </c>
      <c r="M1413" s="39">
        <f t="shared" si="107"/>
        <v>1.3255483667350478</v>
      </c>
      <c r="P1413">
        <v>0</v>
      </c>
      <c r="Q1413">
        <v>0</v>
      </c>
      <c r="R1413" t="s">
        <v>1243</v>
      </c>
    </row>
    <row r="1414" spans="1:18" x14ac:dyDescent="0.3">
      <c r="A1414">
        <v>436</v>
      </c>
      <c r="B1414" t="s">
        <v>1241</v>
      </c>
      <c r="C1414" t="s">
        <v>198</v>
      </c>
      <c r="D1414" t="s">
        <v>54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14</v>
      </c>
      <c r="K1414">
        <v>8.6066666666666674</v>
      </c>
      <c r="L1414" s="39">
        <f t="shared" si="106"/>
        <v>1.3</v>
      </c>
      <c r="M1414" s="39">
        <f t="shared" si="107"/>
        <v>1.6266460108443066</v>
      </c>
      <c r="N1414" t="s">
        <v>42</v>
      </c>
      <c r="O1414" t="s">
        <v>42</v>
      </c>
      <c r="P1414">
        <v>0</v>
      </c>
      <c r="Q1414">
        <v>1</v>
      </c>
      <c r="R1414" t="s">
        <v>3028</v>
      </c>
    </row>
    <row r="1415" spans="1:18" x14ac:dyDescent="0.3">
      <c r="A1415">
        <v>436</v>
      </c>
      <c r="B1415" t="s">
        <v>1241</v>
      </c>
      <c r="C1415" t="s">
        <v>198</v>
      </c>
      <c r="D1415" t="s">
        <v>54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14</v>
      </c>
      <c r="K1415">
        <v>11.67333333333333</v>
      </c>
      <c r="L1415" s="39">
        <f t="shared" si="106"/>
        <v>1.1993146773272418</v>
      </c>
      <c r="M1415" s="39">
        <f t="shared" si="107"/>
        <v>1.1993146773272418</v>
      </c>
      <c r="N1415" t="s">
        <v>42</v>
      </c>
      <c r="O1415" t="s">
        <v>42</v>
      </c>
      <c r="P1415">
        <v>0</v>
      </c>
      <c r="Q1415">
        <v>1</v>
      </c>
      <c r="R1415" t="s">
        <v>1244</v>
      </c>
    </row>
    <row r="1416" spans="1:18" x14ac:dyDescent="0.3">
      <c r="A1416">
        <v>437</v>
      </c>
      <c r="B1416" t="s">
        <v>1246</v>
      </c>
      <c r="C1416" t="s">
        <v>732</v>
      </c>
      <c r="D1416" t="s">
        <v>71</v>
      </c>
      <c r="E1416" t="s">
        <v>22</v>
      </c>
      <c r="F1416" s="79">
        <v>45291</v>
      </c>
      <c r="G1416">
        <v>2023</v>
      </c>
      <c r="H1416" t="s">
        <v>23</v>
      </c>
      <c r="I1416" t="s">
        <v>28</v>
      </c>
      <c r="J1416">
        <v>80</v>
      </c>
      <c r="K1416">
        <v>96</v>
      </c>
      <c r="L1416" s="39">
        <f t="shared" si="106"/>
        <v>1.2</v>
      </c>
      <c r="M1416" s="39">
        <f t="shared" si="107"/>
        <v>1.2</v>
      </c>
      <c r="N1416" t="s">
        <v>25</v>
      </c>
      <c r="O1416" t="s">
        <v>25</v>
      </c>
      <c r="P1416">
        <v>0</v>
      </c>
      <c r="Q1416">
        <v>0</v>
      </c>
      <c r="R1416" t="s">
        <v>1247</v>
      </c>
    </row>
    <row r="1417" spans="1:18" x14ac:dyDescent="0.3">
      <c r="A1417">
        <v>437</v>
      </c>
      <c r="B1417" t="s">
        <v>1246</v>
      </c>
      <c r="C1417" t="s">
        <v>732</v>
      </c>
      <c r="D1417" t="s">
        <v>71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80</v>
      </c>
      <c r="K1417">
        <v>84</v>
      </c>
      <c r="L1417" s="39">
        <f t="shared" ref="L1417:L1435" si="108">IFERROR(IF(OR(J1417=0,K1417=""),"",IF(E1417="Positivo",MIN(MAX(K1417/J1417,0),1.3),MIN(MAX(J1417/K1417,0),1.3))),"")</f>
        <v>1.05</v>
      </c>
      <c r="M1417" s="39">
        <f t="shared" ref="M1417:M1435" si="109">IFERROR(IF(OR(J1417=0,K1417=""),"",IF(E1417="Positivo",MAX(K1417/J1417,0),MAX(J1417/K1417,0))),"")</f>
        <v>1.05</v>
      </c>
      <c r="P1417">
        <v>0</v>
      </c>
      <c r="Q1417">
        <v>0</v>
      </c>
      <c r="R1417" t="s">
        <v>1248</v>
      </c>
    </row>
    <row r="1418" spans="1:18" x14ac:dyDescent="0.3">
      <c r="A1418">
        <v>437</v>
      </c>
      <c r="B1418" t="s">
        <v>1246</v>
      </c>
      <c r="C1418" t="s">
        <v>732</v>
      </c>
      <c r="D1418" t="s">
        <v>71</v>
      </c>
      <c r="E1418" t="s">
        <v>22</v>
      </c>
      <c r="F1418" s="79">
        <v>46022</v>
      </c>
      <c r="G1418">
        <v>2025</v>
      </c>
      <c r="H1418" t="s">
        <v>23</v>
      </c>
      <c r="I1418" t="s">
        <v>32</v>
      </c>
      <c r="J1418">
        <v>80</v>
      </c>
      <c r="K1418">
        <v>99</v>
      </c>
      <c r="L1418" s="39">
        <f t="shared" si="108"/>
        <v>1.2375</v>
      </c>
      <c r="M1418" s="39">
        <f t="shared" si="109"/>
        <v>1.2375</v>
      </c>
      <c r="N1418" t="s">
        <v>25</v>
      </c>
      <c r="O1418" t="s">
        <v>25</v>
      </c>
      <c r="P1418">
        <v>0</v>
      </c>
      <c r="Q1418">
        <v>0</v>
      </c>
      <c r="R1418" t="s">
        <v>1249</v>
      </c>
    </row>
    <row r="1419" spans="1:18" x14ac:dyDescent="0.3">
      <c r="A1419">
        <v>438</v>
      </c>
      <c r="B1419" t="s">
        <v>1250</v>
      </c>
      <c r="C1419" t="s">
        <v>3256</v>
      </c>
      <c r="D1419" t="s">
        <v>27</v>
      </c>
      <c r="E1419" t="s">
        <v>22</v>
      </c>
      <c r="F1419" s="79">
        <v>45291</v>
      </c>
      <c r="G1419">
        <v>2023</v>
      </c>
      <c r="H1419" t="s">
        <v>23</v>
      </c>
      <c r="I1419" t="s">
        <v>28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P1419">
        <v>0</v>
      </c>
      <c r="Q1419">
        <v>0</v>
      </c>
      <c r="R1419" t="s">
        <v>1251</v>
      </c>
    </row>
    <row r="1420" spans="1:18" x14ac:dyDescent="0.3">
      <c r="A1420">
        <v>439</v>
      </c>
      <c r="B1420" t="s">
        <v>1252</v>
      </c>
      <c r="C1420" t="s">
        <v>3256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100</v>
      </c>
      <c r="K1420">
        <v>100</v>
      </c>
      <c r="L1420" s="39">
        <f t="shared" si="108"/>
        <v>1</v>
      </c>
      <c r="M1420" s="39">
        <f t="shared" si="109"/>
        <v>1</v>
      </c>
      <c r="P1420">
        <v>0</v>
      </c>
      <c r="Q1420">
        <v>0</v>
      </c>
      <c r="R1420" t="s">
        <v>1253</v>
      </c>
    </row>
    <row r="1421" spans="1:18" x14ac:dyDescent="0.3">
      <c r="A1421">
        <v>439</v>
      </c>
      <c r="B1421" t="s">
        <v>1252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100</v>
      </c>
      <c r="K1421">
        <v>100</v>
      </c>
      <c r="L1421" s="39">
        <f t="shared" si="108"/>
        <v>1</v>
      </c>
      <c r="M1421" s="39">
        <f t="shared" si="109"/>
        <v>1</v>
      </c>
      <c r="P1421">
        <v>0</v>
      </c>
      <c r="Q1421">
        <v>0</v>
      </c>
      <c r="R1421" t="s">
        <v>3037</v>
      </c>
    </row>
    <row r="1422" spans="1:18" x14ac:dyDescent="0.3">
      <c r="A1422">
        <v>439</v>
      </c>
      <c r="B1422" t="s">
        <v>1252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100</v>
      </c>
      <c r="K1422">
        <v>100</v>
      </c>
      <c r="L1422" s="39">
        <f t="shared" si="108"/>
        <v>1</v>
      </c>
      <c r="M1422" s="39">
        <f t="shared" si="109"/>
        <v>1</v>
      </c>
      <c r="P1422">
        <v>0</v>
      </c>
      <c r="Q1422">
        <v>0</v>
      </c>
      <c r="R1422" t="s">
        <v>1254</v>
      </c>
    </row>
    <row r="1423" spans="1:18" x14ac:dyDescent="0.3">
      <c r="A1423">
        <v>439</v>
      </c>
      <c r="B1423" t="s">
        <v>1252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100</v>
      </c>
      <c r="K1423">
        <v>100</v>
      </c>
      <c r="L1423" s="39">
        <f t="shared" si="108"/>
        <v>1</v>
      </c>
      <c r="M1423" s="39">
        <f t="shared" si="109"/>
        <v>1</v>
      </c>
      <c r="N1423" t="s">
        <v>25</v>
      </c>
      <c r="O1423" t="s">
        <v>25</v>
      </c>
      <c r="P1423">
        <v>0</v>
      </c>
      <c r="Q1423">
        <v>0</v>
      </c>
      <c r="R1423" t="s">
        <v>3038</v>
      </c>
    </row>
    <row r="1424" spans="1:18" x14ac:dyDescent="0.3">
      <c r="A1424">
        <v>439</v>
      </c>
      <c r="B1424" t="s">
        <v>1252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100</v>
      </c>
      <c r="K1424">
        <v>100</v>
      </c>
      <c r="L1424" s="39">
        <f t="shared" si="108"/>
        <v>1</v>
      </c>
      <c r="M1424" s="39">
        <f t="shared" si="109"/>
        <v>1</v>
      </c>
      <c r="N1424" t="s">
        <v>25</v>
      </c>
      <c r="O1424" t="s">
        <v>25</v>
      </c>
      <c r="P1424">
        <v>0</v>
      </c>
      <c r="Q1424">
        <v>0</v>
      </c>
      <c r="R1424" t="s">
        <v>1255</v>
      </c>
    </row>
    <row r="1425" spans="1:18" x14ac:dyDescent="0.3">
      <c r="A1425">
        <v>440</v>
      </c>
      <c r="B1425" t="s">
        <v>1256</v>
      </c>
      <c r="C1425" t="s">
        <v>3256</v>
      </c>
      <c r="D1425" t="s">
        <v>27</v>
      </c>
      <c r="E1425" t="s">
        <v>22</v>
      </c>
      <c r="F1425" s="79">
        <v>45291</v>
      </c>
      <c r="G1425">
        <v>2023</v>
      </c>
      <c r="H1425" t="s">
        <v>23</v>
      </c>
      <c r="I1425" t="s">
        <v>28</v>
      </c>
      <c r="J1425">
        <v>98</v>
      </c>
      <c r="K1425">
        <v>97.746062537526996</v>
      </c>
      <c r="L1425" s="39">
        <f t="shared" si="108"/>
        <v>0.99740880140333665</v>
      </c>
      <c r="M1425" s="39">
        <f t="shared" si="109"/>
        <v>0.99740880140333665</v>
      </c>
      <c r="P1425">
        <v>1</v>
      </c>
      <c r="Q1425">
        <v>1</v>
      </c>
      <c r="R1425" t="s">
        <v>1257</v>
      </c>
    </row>
    <row r="1426" spans="1:18" x14ac:dyDescent="0.3">
      <c r="A1426">
        <v>440</v>
      </c>
      <c r="B1426" t="s">
        <v>1256</v>
      </c>
      <c r="C1426" t="s">
        <v>956</v>
      </c>
      <c r="D1426" t="s">
        <v>27</v>
      </c>
      <c r="E1426" t="s">
        <v>22</v>
      </c>
      <c r="F1426" s="79">
        <v>45473</v>
      </c>
      <c r="G1426">
        <v>2024</v>
      </c>
      <c r="H1426" t="s">
        <v>699</v>
      </c>
      <c r="I1426" t="s">
        <v>729</v>
      </c>
      <c r="J1426">
        <v>98</v>
      </c>
      <c r="K1426">
        <v>99.73</v>
      </c>
      <c r="L1426" s="39">
        <f t="shared" si="108"/>
        <v>1.0176530612244898</v>
      </c>
      <c r="M1426" s="39">
        <f t="shared" si="109"/>
        <v>1.0176530612244898</v>
      </c>
      <c r="P1426">
        <v>0</v>
      </c>
      <c r="Q1426">
        <v>0</v>
      </c>
      <c r="R1426" t="s">
        <v>3041</v>
      </c>
    </row>
    <row r="1427" spans="1:18" x14ac:dyDescent="0.3">
      <c r="A1427">
        <v>440</v>
      </c>
      <c r="B1427" t="s">
        <v>1256</v>
      </c>
      <c r="C1427" t="s">
        <v>956</v>
      </c>
      <c r="D1427" t="s">
        <v>27</v>
      </c>
      <c r="E1427" t="s">
        <v>22</v>
      </c>
      <c r="F1427" s="79">
        <v>45657</v>
      </c>
      <c r="G1427">
        <v>2024</v>
      </c>
      <c r="H1427" t="s">
        <v>23</v>
      </c>
      <c r="I1427" t="s">
        <v>30</v>
      </c>
      <c r="J1427">
        <v>98</v>
      </c>
      <c r="K1427">
        <v>99.24</v>
      </c>
      <c r="L1427" s="39">
        <f t="shared" si="108"/>
        <v>1.0126530612244897</v>
      </c>
      <c r="M1427" s="39">
        <f t="shared" si="109"/>
        <v>1.0126530612244897</v>
      </c>
      <c r="P1427">
        <v>0</v>
      </c>
      <c r="Q1427">
        <v>0</v>
      </c>
      <c r="R1427" t="s">
        <v>1258</v>
      </c>
    </row>
    <row r="1428" spans="1:18" x14ac:dyDescent="0.3">
      <c r="A1428">
        <v>440</v>
      </c>
      <c r="B1428" t="s">
        <v>1256</v>
      </c>
      <c r="C1428" t="s">
        <v>956</v>
      </c>
      <c r="D1428" t="s">
        <v>21</v>
      </c>
      <c r="E1428" t="s">
        <v>22</v>
      </c>
      <c r="F1428" s="79">
        <v>45838</v>
      </c>
      <c r="G1428">
        <v>2025</v>
      </c>
      <c r="H1428" t="s">
        <v>699</v>
      </c>
      <c r="I1428" t="s">
        <v>700</v>
      </c>
      <c r="J1428">
        <v>98</v>
      </c>
      <c r="K1428">
        <v>99.77</v>
      </c>
      <c r="L1428" s="39">
        <f t="shared" si="108"/>
        <v>1.018061224489796</v>
      </c>
      <c r="M1428" s="39">
        <f t="shared" si="109"/>
        <v>1.018061224489796</v>
      </c>
      <c r="N1428" t="s">
        <v>25</v>
      </c>
      <c r="O1428" t="s">
        <v>25</v>
      </c>
      <c r="P1428">
        <v>0</v>
      </c>
      <c r="Q1428">
        <v>1</v>
      </c>
      <c r="R1428" t="s">
        <v>3042</v>
      </c>
    </row>
    <row r="1429" spans="1:18" x14ac:dyDescent="0.3">
      <c r="A1429">
        <v>440</v>
      </c>
      <c r="B1429" t="s">
        <v>1256</v>
      </c>
      <c r="C1429" t="s">
        <v>956</v>
      </c>
      <c r="D1429" t="s">
        <v>21</v>
      </c>
      <c r="E1429" t="s">
        <v>22</v>
      </c>
      <c r="F1429" s="79">
        <v>46022</v>
      </c>
      <c r="G1429">
        <v>2025</v>
      </c>
      <c r="H1429" t="s">
        <v>23</v>
      </c>
      <c r="I1429" t="s">
        <v>32</v>
      </c>
      <c r="J1429">
        <v>98</v>
      </c>
      <c r="K1429">
        <v>99.74</v>
      </c>
      <c r="L1429" s="39">
        <f t="shared" si="108"/>
        <v>1.0177551020408162</v>
      </c>
      <c r="M1429" s="39">
        <f t="shared" si="109"/>
        <v>1.0177551020408162</v>
      </c>
      <c r="N1429" t="s">
        <v>25</v>
      </c>
      <c r="O1429" t="s">
        <v>25</v>
      </c>
      <c r="P1429">
        <v>0</v>
      </c>
      <c r="Q1429">
        <v>1</v>
      </c>
      <c r="R1429" t="s">
        <v>1259</v>
      </c>
    </row>
    <row r="1430" spans="1:18" x14ac:dyDescent="0.3">
      <c r="A1430">
        <v>441</v>
      </c>
      <c r="B1430" t="s">
        <v>1260</v>
      </c>
      <c r="C1430" t="s">
        <v>511</v>
      </c>
      <c r="D1430" t="s">
        <v>54</v>
      </c>
      <c r="E1430" t="s">
        <v>22</v>
      </c>
      <c r="F1430" s="79">
        <v>45473</v>
      </c>
      <c r="G1430">
        <v>2024</v>
      </c>
      <c r="H1430" t="s">
        <v>699</v>
      </c>
      <c r="I1430" t="s">
        <v>729</v>
      </c>
      <c r="J1430">
        <v>90</v>
      </c>
      <c r="K1430">
        <v>97.31</v>
      </c>
      <c r="L1430" s="39">
        <f t="shared" si="108"/>
        <v>1.0812222222222223</v>
      </c>
      <c r="M1430" s="39">
        <f t="shared" si="109"/>
        <v>1.0812222222222223</v>
      </c>
      <c r="P1430">
        <v>0</v>
      </c>
      <c r="Q1430">
        <v>0</v>
      </c>
      <c r="R1430" t="s">
        <v>3048</v>
      </c>
    </row>
    <row r="1431" spans="1:18" x14ac:dyDescent="0.3">
      <c r="A1431">
        <v>441</v>
      </c>
      <c r="B1431" t="s">
        <v>1260</v>
      </c>
      <c r="C1431" t="s">
        <v>511</v>
      </c>
      <c r="D1431" t="s">
        <v>54</v>
      </c>
      <c r="E1431" t="s">
        <v>22</v>
      </c>
      <c r="F1431" s="79">
        <v>45657</v>
      </c>
      <c r="G1431">
        <v>2024</v>
      </c>
      <c r="H1431" t="s">
        <v>23</v>
      </c>
      <c r="I1431" t="s">
        <v>30</v>
      </c>
      <c r="J1431">
        <v>90</v>
      </c>
      <c r="K1431">
        <v>99.919935948759004</v>
      </c>
      <c r="L1431" s="39">
        <f t="shared" si="108"/>
        <v>1.1102215105417668</v>
      </c>
      <c r="M1431" s="39">
        <f t="shared" si="109"/>
        <v>1.1102215105417668</v>
      </c>
      <c r="P1431">
        <v>0</v>
      </c>
      <c r="Q1431">
        <v>0</v>
      </c>
      <c r="R1431" t="s">
        <v>1261</v>
      </c>
    </row>
    <row r="1432" spans="1:18" x14ac:dyDescent="0.3">
      <c r="A1432">
        <v>442</v>
      </c>
      <c r="B1432" t="s">
        <v>1262</v>
      </c>
      <c r="C1432" t="s">
        <v>246</v>
      </c>
      <c r="D1432" t="s">
        <v>27</v>
      </c>
      <c r="E1432" t="s">
        <v>22</v>
      </c>
      <c r="F1432" s="79">
        <v>45473</v>
      </c>
      <c r="G1432">
        <v>2024</v>
      </c>
      <c r="H1432" t="s">
        <v>699</v>
      </c>
      <c r="I1432" t="s">
        <v>729</v>
      </c>
      <c r="J1432">
        <v>100</v>
      </c>
      <c r="K1432">
        <v>80</v>
      </c>
      <c r="L1432" s="39">
        <f t="shared" si="108"/>
        <v>0.8</v>
      </c>
      <c r="M1432" s="39">
        <f t="shared" si="109"/>
        <v>0.8</v>
      </c>
      <c r="P1432">
        <v>0</v>
      </c>
      <c r="Q1432">
        <v>0</v>
      </c>
      <c r="R1432" t="s">
        <v>3054</v>
      </c>
    </row>
    <row r="1433" spans="1:18" x14ac:dyDescent="0.3">
      <c r="A1433">
        <v>442</v>
      </c>
      <c r="B1433" t="s">
        <v>1262</v>
      </c>
      <c r="C1433" t="s">
        <v>246</v>
      </c>
      <c r="D1433" t="s">
        <v>27</v>
      </c>
      <c r="E1433" t="s">
        <v>22</v>
      </c>
      <c r="F1433" s="79">
        <v>45657</v>
      </c>
      <c r="G1433">
        <v>2024</v>
      </c>
      <c r="H1433" t="s">
        <v>23</v>
      </c>
      <c r="I1433" t="s">
        <v>30</v>
      </c>
      <c r="J1433">
        <v>100</v>
      </c>
      <c r="K1433">
        <v>145</v>
      </c>
      <c r="L1433" s="39">
        <f t="shared" si="108"/>
        <v>1.3</v>
      </c>
      <c r="M1433" s="39">
        <f t="shared" si="109"/>
        <v>1.45</v>
      </c>
      <c r="P1433">
        <v>0</v>
      </c>
      <c r="Q1433">
        <v>0</v>
      </c>
      <c r="R1433" t="s">
        <v>1263</v>
      </c>
    </row>
    <row r="1434" spans="1:18" x14ac:dyDescent="0.3">
      <c r="A1434">
        <v>443</v>
      </c>
      <c r="B1434" t="s">
        <v>1264</v>
      </c>
      <c r="C1434" t="s">
        <v>246</v>
      </c>
      <c r="D1434" t="s">
        <v>27</v>
      </c>
      <c r="E1434" t="s">
        <v>22</v>
      </c>
      <c r="F1434" s="79">
        <v>45473</v>
      </c>
      <c r="G1434">
        <v>2024</v>
      </c>
      <c r="H1434" t="s">
        <v>699</v>
      </c>
      <c r="I1434" t="s">
        <v>729</v>
      </c>
      <c r="J1434">
        <v>100</v>
      </c>
      <c r="K1434">
        <v>114.33</v>
      </c>
      <c r="L1434" s="39">
        <f t="shared" si="108"/>
        <v>1.1433</v>
      </c>
      <c r="M1434" s="39">
        <f t="shared" si="109"/>
        <v>1.1433</v>
      </c>
      <c r="P1434">
        <v>0</v>
      </c>
      <c r="Q1434">
        <v>0</v>
      </c>
      <c r="R1434" t="s">
        <v>3055</v>
      </c>
    </row>
    <row r="1435" spans="1:18" x14ac:dyDescent="0.3">
      <c r="A1435">
        <v>443</v>
      </c>
      <c r="B1435" t="s">
        <v>1264</v>
      </c>
      <c r="C1435" t="s">
        <v>246</v>
      </c>
      <c r="D1435" t="s">
        <v>27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100</v>
      </c>
      <c r="K1435">
        <v>209</v>
      </c>
      <c r="L1435" s="39">
        <f t="shared" si="108"/>
        <v>1.3</v>
      </c>
      <c r="M1435" s="39">
        <f t="shared" si="109"/>
        <v>2.09</v>
      </c>
      <c r="P1435">
        <v>0</v>
      </c>
      <c r="Q1435">
        <v>0</v>
      </c>
      <c r="R1435" t="s">
        <v>1265</v>
      </c>
    </row>
    <row r="1436" spans="1:18" x14ac:dyDescent="0.3">
      <c r="A1436">
        <v>444</v>
      </c>
      <c r="B1436" t="s">
        <v>1266</v>
      </c>
      <c r="C1436" t="s">
        <v>541</v>
      </c>
      <c r="D1436" t="s">
        <v>27</v>
      </c>
      <c r="E1436" t="s">
        <v>22</v>
      </c>
      <c r="F1436" s="79">
        <v>45473</v>
      </c>
      <c r="G1436">
        <v>2024</v>
      </c>
      <c r="H1436" t="s">
        <v>699</v>
      </c>
      <c r="I1436" t="s">
        <v>729</v>
      </c>
      <c r="L1436" s="39"/>
      <c r="M1436" s="39"/>
      <c r="P1436">
        <v>0</v>
      </c>
      <c r="Q1436">
        <v>0</v>
      </c>
      <c r="R1436" t="s">
        <v>3263</v>
      </c>
    </row>
    <row r="1437" spans="1:18" x14ac:dyDescent="0.3">
      <c r="A1437">
        <v>444</v>
      </c>
      <c r="B1437" t="s">
        <v>1266</v>
      </c>
      <c r="C1437" t="s">
        <v>541</v>
      </c>
      <c r="D1437" t="s">
        <v>27</v>
      </c>
      <c r="E1437" t="s">
        <v>22</v>
      </c>
      <c r="F1437" s="79">
        <v>45657</v>
      </c>
      <c r="G1437">
        <v>2024</v>
      </c>
      <c r="H1437" t="s">
        <v>23</v>
      </c>
      <c r="I1437" t="s">
        <v>30</v>
      </c>
      <c r="J1437">
        <v>0</v>
      </c>
      <c r="K1437">
        <v>2.1</v>
      </c>
      <c r="L1437" s="39" t="str">
        <f t="shared" ref="L1437:L1465" si="110">IFERROR(IF(OR(J1437=0,K1437=""),"",IF(E1437="Positivo",MIN(MAX(K1437/J1437,0),1.3),MIN(MAX(J1437/K1437,0),1.3))),"")</f>
        <v/>
      </c>
      <c r="M1437" s="39" t="str">
        <f t="shared" ref="M1437:M1465" si="111">IFERROR(IF(OR(J1437=0,K1437=""),"",IF(E1437="Positivo",MAX(K1437/J1437,0),MAX(J1437/K1437,0))),"")</f>
        <v/>
      </c>
      <c r="P1437">
        <v>0</v>
      </c>
      <c r="Q1437">
        <v>0</v>
      </c>
      <c r="R1437" t="s">
        <v>1267</v>
      </c>
    </row>
    <row r="1438" spans="1:18" x14ac:dyDescent="0.3">
      <c r="A1438">
        <v>444</v>
      </c>
      <c r="B1438" t="s">
        <v>1266</v>
      </c>
      <c r="C1438" t="s">
        <v>541</v>
      </c>
      <c r="D1438" t="s">
        <v>21</v>
      </c>
      <c r="E1438" t="s">
        <v>41</v>
      </c>
      <c r="F1438" s="79">
        <v>45838</v>
      </c>
      <c r="G1438">
        <v>2025</v>
      </c>
      <c r="H1438" t="s">
        <v>699</v>
      </c>
      <c r="I1438" t="s">
        <v>700</v>
      </c>
      <c r="J1438">
        <v>3</v>
      </c>
      <c r="K1438">
        <v>1.6</v>
      </c>
      <c r="L1438" s="39">
        <f t="shared" si="110"/>
        <v>1.3</v>
      </c>
      <c r="M1438" s="39">
        <f t="shared" si="111"/>
        <v>1.875</v>
      </c>
      <c r="N1438" t="s">
        <v>128</v>
      </c>
      <c r="O1438" t="s">
        <v>136</v>
      </c>
      <c r="P1438">
        <v>0</v>
      </c>
      <c r="Q1438">
        <v>1</v>
      </c>
      <c r="R1438" t="s">
        <v>3056</v>
      </c>
    </row>
    <row r="1439" spans="1:18" x14ac:dyDescent="0.3">
      <c r="A1439">
        <v>444</v>
      </c>
      <c r="B1439" t="s">
        <v>1266</v>
      </c>
      <c r="C1439" t="s">
        <v>541</v>
      </c>
      <c r="D1439" t="s">
        <v>21</v>
      </c>
      <c r="E1439" t="s">
        <v>41</v>
      </c>
      <c r="F1439" s="79">
        <v>46022</v>
      </c>
      <c r="G1439">
        <v>2025</v>
      </c>
      <c r="H1439" t="s">
        <v>23</v>
      </c>
      <c r="I1439" t="s">
        <v>32</v>
      </c>
      <c r="J1439">
        <v>3</v>
      </c>
      <c r="K1439">
        <v>1.7</v>
      </c>
      <c r="L1439" s="39">
        <f t="shared" si="110"/>
        <v>1.3</v>
      </c>
      <c r="M1439" s="39">
        <f t="shared" si="111"/>
        <v>1.7647058823529411</v>
      </c>
      <c r="N1439" t="s">
        <v>128</v>
      </c>
      <c r="O1439" t="s">
        <v>136</v>
      </c>
      <c r="P1439">
        <v>0</v>
      </c>
      <c r="Q1439">
        <v>1</v>
      </c>
      <c r="R1439" t="s">
        <v>1268</v>
      </c>
    </row>
    <row r="1440" spans="1:18" x14ac:dyDescent="0.3">
      <c r="A1440">
        <v>445</v>
      </c>
      <c r="B1440" t="s">
        <v>1269</v>
      </c>
      <c r="C1440" t="s">
        <v>541</v>
      </c>
      <c r="D1440" t="s">
        <v>27</v>
      </c>
      <c r="E1440" t="s">
        <v>22</v>
      </c>
      <c r="F1440" s="79">
        <v>45473</v>
      </c>
      <c r="G1440">
        <v>2024</v>
      </c>
      <c r="H1440" t="s">
        <v>699</v>
      </c>
      <c r="I1440" t="s">
        <v>729</v>
      </c>
      <c r="J1440">
        <v>67.5</v>
      </c>
      <c r="K1440">
        <v>55.2</v>
      </c>
      <c r="L1440" s="39">
        <f t="shared" si="110"/>
        <v>0.81777777777777783</v>
      </c>
      <c r="M1440" s="39">
        <f t="shared" si="111"/>
        <v>0.81777777777777783</v>
      </c>
      <c r="P1440">
        <v>0</v>
      </c>
      <c r="Q1440">
        <v>0</v>
      </c>
      <c r="R1440" t="s">
        <v>3057</v>
      </c>
    </row>
    <row r="1441" spans="1:18" x14ac:dyDescent="0.3">
      <c r="A1441">
        <v>445</v>
      </c>
      <c r="B1441" t="s">
        <v>1269</v>
      </c>
      <c r="C1441" t="s">
        <v>541</v>
      </c>
      <c r="D1441" t="s">
        <v>27</v>
      </c>
      <c r="E1441" t="s">
        <v>22</v>
      </c>
      <c r="F1441" s="79">
        <v>45657</v>
      </c>
      <c r="G1441">
        <v>2024</v>
      </c>
      <c r="H1441" t="s">
        <v>23</v>
      </c>
      <c r="I1441" t="s">
        <v>30</v>
      </c>
      <c r="J1441">
        <v>67.5</v>
      </c>
      <c r="K1441">
        <v>86.5</v>
      </c>
      <c r="L1441" s="39">
        <f t="shared" si="110"/>
        <v>1.2814814814814814</v>
      </c>
      <c r="M1441" s="39">
        <f t="shared" si="111"/>
        <v>1.2814814814814814</v>
      </c>
      <c r="P1441">
        <v>0</v>
      </c>
      <c r="Q1441">
        <v>0</v>
      </c>
      <c r="R1441" t="s">
        <v>1270</v>
      </c>
    </row>
    <row r="1442" spans="1:18" x14ac:dyDescent="0.3">
      <c r="A1442">
        <v>445</v>
      </c>
      <c r="B1442" t="s">
        <v>1269</v>
      </c>
      <c r="C1442" t="s">
        <v>541</v>
      </c>
      <c r="D1442" t="s">
        <v>21</v>
      </c>
      <c r="E1442" t="s">
        <v>22</v>
      </c>
      <c r="F1442" s="79">
        <v>45838</v>
      </c>
      <c r="G1442">
        <v>2025</v>
      </c>
      <c r="H1442" t="s">
        <v>699</v>
      </c>
      <c r="I1442" t="s">
        <v>700</v>
      </c>
      <c r="J1442">
        <v>70</v>
      </c>
      <c r="K1442">
        <v>75.7</v>
      </c>
      <c r="L1442" s="39">
        <f t="shared" si="110"/>
        <v>1.0814285714285714</v>
      </c>
      <c r="M1442" s="39">
        <f t="shared" si="111"/>
        <v>1.0814285714285714</v>
      </c>
      <c r="N1442" t="s">
        <v>25</v>
      </c>
      <c r="O1442" t="s">
        <v>25</v>
      </c>
      <c r="P1442">
        <v>0</v>
      </c>
      <c r="Q1442">
        <v>0</v>
      </c>
      <c r="R1442" t="s">
        <v>3058</v>
      </c>
    </row>
    <row r="1443" spans="1:18" x14ac:dyDescent="0.3">
      <c r="A1443">
        <v>445</v>
      </c>
      <c r="B1443" t="s">
        <v>1269</v>
      </c>
      <c r="C1443" t="s">
        <v>541</v>
      </c>
      <c r="D1443" t="s">
        <v>21</v>
      </c>
      <c r="E1443" t="s">
        <v>22</v>
      </c>
      <c r="F1443" s="79">
        <v>46022</v>
      </c>
      <c r="G1443">
        <v>2025</v>
      </c>
      <c r="H1443" t="s">
        <v>23</v>
      </c>
      <c r="I1443" t="s">
        <v>32</v>
      </c>
      <c r="J1443">
        <v>70</v>
      </c>
      <c r="K1443">
        <v>85.3</v>
      </c>
      <c r="L1443" s="39">
        <f t="shared" si="110"/>
        <v>1.2185714285714286</v>
      </c>
      <c r="M1443" s="39">
        <f t="shared" si="111"/>
        <v>1.2185714285714286</v>
      </c>
      <c r="N1443" t="s">
        <v>25</v>
      </c>
      <c r="O1443" t="s">
        <v>25</v>
      </c>
      <c r="P1443">
        <v>0</v>
      </c>
      <c r="Q1443">
        <v>0</v>
      </c>
      <c r="R1443" t="s">
        <v>1271</v>
      </c>
    </row>
    <row r="1444" spans="1:18" x14ac:dyDescent="0.3">
      <c r="A1444">
        <v>447</v>
      </c>
      <c r="B1444" t="s">
        <v>724</v>
      </c>
      <c r="C1444" t="s">
        <v>254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15</v>
      </c>
      <c r="K1444">
        <v>31.04</v>
      </c>
      <c r="L1444" s="39">
        <f t="shared" si="110"/>
        <v>1.3</v>
      </c>
      <c r="M1444" s="39">
        <f t="shared" si="111"/>
        <v>2.0693333333333332</v>
      </c>
      <c r="P1444">
        <v>0</v>
      </c>
      <c r="Q1444">
        <v>0</v>
      </c>
      <c r="R1444" t="s">
        <v>3059</v>
      </c>
    </row>
    <row r="1445" spans="1:18" x14ac:dyDescent="0.3">
      <c r="A1445">
        <v>447</v>
      </c>
      <c r="B1445" t="s">
        <v>724</v>
      </c>
      <c r="C1445" t="s">
        <v>254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15</v>
      </c>
      <c r="K1445">
        <v>16.16</v>
      </c>
      <c r="L1445" s="39">
        <f t="shared" si="110"/>
        <v>1.0773333333333333</v>
      </c>
      <c r="M1445" s="39">
        <f t="shared" si="111"/>
        <v>1.0773333333333333</v>
      </c>
      <c r="P1445">
        <v>0</v>
      </c>
      <c r="Q1445">
        <v>0</v>
      </c>
      <c r="R1445" t="s">
        <v>1272</v>
      </c>
    </row>
    <row r="1446" spans="1:18" x14ac:dyDescent="0.3">
      <c r="A1446">
        <v>447</v>
      </c>
      <c r="B1446" t="s">
        <v>724</v>
      </c>
      <c r="C1446" t="s">
        <v>254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15</v>
      </c>
      <c r="K1446">
        <v>16.54</v>
      </c>
      <c r="L1446" s="39">
        <f t="shared" si="110"/>
        <v>1.1026666666666667</v>
      </c>
      <c r="M1446" s="39">
        <f t="shared" si="111"/>
        <v>1.1026666666666667</v>
      </c>
      <c r="N1446" t="s">
        <v>25</v>
      </c>
      <c r="O1446" t="s">
        <v>25</v>
      </c>
      <c r="P1446">
        <v>0</v>
      </c>
      <c r="Q1446">
        <v>0</v>
      </c>
      <c r="R1446" t="s">
        <v>3060</v>
      </c>
    </row>
    <row r="1447" spans="1:18" x14ac:dyDescent="0.3">
      <c r="A1447">
        <v>447</v>
      </c>
      <c r="B1447" t="s">
        <v>724</v>
      </c>
      <c r="C1447" t="s">
        <v>254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15</v>
      </c>
      <c r="K1447">
        <v>15.01</v>
      </c>
      <c r="L1447" s="39">
        <f t="shared" si="110"/>
        <v>1.0006666666666666</v>
      </c>
      <c r="M1447" s="39">
        <f t="shared" si="111"/>
        <v>1.0006666666666666</v>
      </c>
      <c r="N1447" t="s">
        <v>25</v>
      </c>
      <c r="O1447" t="s">
        <v>25</v>
      </c>
      <c r="P1447">
        <v>0</v>
      </c>
      <c r="Q1447">
        <v>0</v>
      </c>
      <c r="R1447" t="s">
        <v>1273</v>
      </c>
    </row>
    <row r="1448" spans="1:18" x14ac:dyDescent="0.3">
      <c r="A1448">
        <v>448</v>
      </c>
      <c r="B1448" t="s">
        <v>1274</v>
      </c>
      <c r="C1448" t="s">
        <v>254</v>
      </c>
      <c r="D1448" t="s">
        <v>27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</v>
      </c>
      <c r="K1448">
        <v>18.93</v>
      </c>
      <c r="L1448" s="39">
        <f t="shared" si="110"/>
        <v>1.3</v>
      </c>
      <c r="M1448" s="39">
        <f t="shared" si="111"/>
        <v>2.1033333333333335</v>
      </c>
      <c r="P1448">
        <v>0</v>
      </c>
      <c r="Q1448">
        <v>0</v>
      </c>
      <c r="R1448" t="s">
        <v>3061</v>
      </c>
    </row>
    <row r="1449" spans="1:18" x14ac:dyDescent="0.3">
      <c r="A1449">
        <v>448</v>
      </c>
      <c r="B1449" t="s">
        <v>1274</v>
      </c>
      <c r="C1449" t="s">
        <v>254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</v>
      </c>
      <c r="K1449">
        <v>9.32</v>
      </c>
      <c r="L1449" s="39">
        <f t="shared" si="110"/>
        <v>1.0355555555555556</v>
      </c>
      <c r="M1449" s="39">
        <f t="shared" si="111"/>
        <v>1.0355555555555556</v>
      </c>
      <c r="P1449">
        <v>0</v>
      </c>
      <c r="Q1449">
        <v>0</v>
      </c>
      <c r="R1449" t="s">
        <v>1275</v>
      </c>
    </row>
    <row r="1450" spans="1:18" x14ac:dyDescent="0.3">
      <c r="A1450">
        <v>448</v>
      </c>
      <c r="B1450" t="s">
        <v>1274</v>
      </c>
      <c r="C1450" t="s">
        <v>254</v>
      </c>
      <c r="D1450" t="s">
        <v>21</v>
      </c>
      <c r="E1450" t="s">
        <v>22</v>
      </c>
      <c r="F1450" s="79">
        <v>45838</v>
      </c>
      <c r="G1450">
        <v>2025</v>
      </c>
      <c r="H1450" t="s">
        <v>699</v>
      </c>
      <c r="I1450" t="s">
        <v>700</v>
      </c>
      <c r="J1450">
        <v>17</v>
      </c>
      <c r="K1450">
        <v>39.619999999999997</v>
      </c>
      <c r="L1450" s="39">
        <f t="shared" si="110"/>
        <v>1.3</v>
      </c>
      <c r="M1450" s="39">
        <f t="shared" si="111"/>
        <v>2.3305882352941176</v>
      </c>
      <c r="N1450" t="s">
        <v>25</v>
      </c>
      <c r="O1450" t="s">
        <v>25</v>
      </c>
      <c r="P1450">
        <v>0</v>
      </c>
      <c r="Q1450">
        <v>1</v>
      </c>
      <c r="R1450" t="s">
        <v>3062</v>
      </c>
    </row>
    <row r="1451" spans="1:18" x14ac:dyDescent="0.3">
      <c r="A1451">
        <v>448</v>
      </c>
      <c r="B1451" t="s">
        <v>1274</v>
      </c>
      <c r="C1451" t="s">
        <v>254</v>
      </c>
      <c r="D1451" t="s">
        <v>21</v>
      </c>
      <c r="E1451" t="s">
        <v>22</v>
      </c>
      <c r="F1451" s="79">
        <v>46022</v>
      </c>
      <c r="G1451">
        <v>2025</v>
      </c>
      <c r="H1451" t="s">
        <v>23</v>
      </c>
      <c r="I1451" t="s">
        <v>32</v>
      </c>
      <c r="J1451">
        <v>17</v>
      </c>
      <c r="K1451">
        <v>59.36</v>
      </c>
      <c r="L1451" s="39">
        <f t="shared" si="110"/>
        <v>1.3</v>
      </c>
      <c r="M1451" s="39">
        <f t="shared" si="111"/>
        <v>3.4917647058823529</v>
      </c>
      <c r="N1451" t="s">
        <v>25</v>
      </c>
      <c r="O1451" t="s">
        <v>25</v>
      </c>
      <c r="P1451">
        <v>0</v>
      </c>
      <c r="Q1451">
        <v>1</v>
      </c>
      <c r="R1451" t="s">
        <v>1276</v>
      </c>
    </row>
    <row r="1452" spans="1:18" x14ac:dyDescent="0.3">
      <c r="A1452">
        <v>449</v>
      </c>
      <c r="B1452" t="s">
        <v>1277</v>
      </c>
      <c r="C1452" t="s">
        <v>732</v>
      </c>
      <c r="D1452" t="s">
        <v>21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40</v>
      </c>
      <c r="K1452">
        <v>53.85</v>
      </c>
      <c r="L1452" s="39">
        <f t="shared" si="110"/>
        <v>1.3</v>
      </c>
      <c r="M1452" s="39">
        <f t="shared" si="111"/>
        <v>1.3462499999999999</v>
      </c>
      <c r="P1452">
        <v>0</v>
      </c>
      <c r="Q1452">
        <v>0</v>
      </c>
      <c r="R1452" t="s">
        <v>3264</v>
      </c>
    </row>
    <row r="1453" spans="1:18" x14ac:dyDescent="0.3">
      <c r="A1453">
        <v>449</v>
      </c>
      <c r="B1453" t="s">
        <v>1277</v>
      </c>
      <c r="C1453" t="s">
        <v>732</v>
      </c>
      <c r="D1453" t="s">
        <v>21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1278</v>
      </c>
    </row>
    <row r="1454" spans="1:18" x14ac:dyDescent="0.3">
      <c r="A1454">
        <v>451</v>
      </c>
      <c r="B1454" t="s">
        <v>1279</v>
      </c>
      <c r="C1454" t="s">
        <v>1078</v>
      </c>
      <c r="D1454" t="s">
        <v>27</v>
      </c>
      <c r="E1454" t="s">
        <v>22</v>
      </c>
      <c r="F1454" s="79">
        <v>45473</v>
      </c>
      <c r="G1454">
        <v>2024</v>
      </c>
      <c r="H1454" t="s">
        <v>699</v>
      </c>
      <c r="I1454" t="s">
        <v>729</v>
      </c>
      <c r="J1454">
        <v>0</v>
      </c>
      <c r="K1454">
        <v>34.9</v>
      </c>
      <c r="L1454" s="39" t="str">
        <f t="shared" si="110"/>
        <v/>
      </c>
      <c r="M1454" s="39" t="str">
        <f t="shared" si="111"/>
        <v/>
      </c>
      <c r="P1454">
        <v>0</v>
      </c>
      <c r="Q1454">
        <v>0</v>
      </c>
      <c r="R1454" t="s">
        <v>3065</v>
      </c>
    </row>
    <row r="1455" spans="1:18" x14ac:dyDescent="0.3">
      <c r="A1455">
        <v>451</v>
      </c>
      <c r="B1455" t="s">
        <v>1279</v>
      </c>
      <c r="C1455" t="s">
        <v>1078</v>
      </c>
      <c r="D1455" t="s">
        <v>27</v>
      </c>
      <c r="E1455" t="s">
        <v>22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42.7</v>
      </c>
      <c r="L1455" s="39" t="str">
        <f t="shared" si="110"/>
        <v/>
      </c>
      <c r="M1455" s="39" t="str">
        <f t="shared" si="111"/>
        <v/>
      </c>
      <c r="P1455">
        <v>0</v>
      </c>
      <c r="Q1455">
        <v>0</v>
      </c>
      <c r="R1455" t="s">
        <v>1280</v>
      </c>
    </row>
    <row r="1456" spans="1:18" x14ac:dyDescent="0.3">
      <c r="A1456">
        <v>451</v>
      </c>
      <c r="B1456" t="s">
        <v>1281</v>
      </c>
      <c r="C1456" t="s">
        <v>1078</v>
      </c>
      <c r="D1456" t="s">
        <v>21</v>
      </c>
      <c r="E1456" t="s">
        <v>22</v>
      </c>
      <c r="F1456" s="79">
        <v>45838</v>
      </c>
      <c r="G1456">
        <v>2025</v>
      </c>
      <c r="H1456" t="s">
        <v>699</v>
      </c>
      <c r="I1456" t="s">
        <v>700</v>
      </c>
      <c r="J1456">
        <v>100</v>
      </c>
      <c r="K1456">
        <v>119.5</v>
      </c>
      <c r="L1456" s="39">
        <f t="shared" si="110"/>
        <v>1.1950000000000001</v>
      </c>
      <c r="M1456" s="39">
        <f t="shared" si="111"/>
        <v>1.1950000000000001</v>
      </c>
      <c r="N1456" t="s">
        <v>25</v>
      </c>
      <c r="O1456" t="s">
        <v>25</v>
      </c>
      <c r="P1456">
        <v>0</v>
      </c>
      <c r="Q1456">
        <v>0</v>
      </c>
      <c r="R1456" t="s">
        <v>3066</v>
      </c>
    </row>
    <row r="1457" spans="1:18" x14ac:dyDescent="0.3">
      <c r="A1457">
        <v>451</v>
      </c>
      <c r="B1457" t="s">
        <v>1281</v>
      </c>
      <c r="C1457" t="s">
        <v>1078</v>
      </c>
      <c r="D1457" t="s">
        <v>21</v>
      </c>
      <c r="E1457" t="s">
        <v>22</v>
      </c>
      <c r="F1457" s="79">
        <v>46022</v>
      </c>
      <c r="G1457">
        <v>2025</v>
      </c>
      <c r="H1457" t="s">
        <v>23</v>
      </c>
      <c r="I1457" t="s">
        <v>32</v>
      </c>
      <c r="J1457">
        <v>100</v>
      </c>
      <c r="K1457">
        <v>130.80000000000001</v>
      </c>
      <c r="L1457" s="39">
        <f t="shared" si="110"/>
        <v>1.3</v>
      </c>
      <c r="M1457" s="39">
        <f t="shared" si="111"/>
        <v>1.3080000000000001</v>
      </c>
      <c r="N1457" t="s">
        <v>25</v>
      </c>
      <c r="O1457" t="s">
        <v>25</v>
      </c>
      <c r="P1457">
        <v>0</v>
      </c>
      <c r="Q1457">
        <v>0</v>
      </c>
      <c r="R1457" t="s">
        <v>1282</v>
      </c>
    </row>
    <row r="1458" spans="1:18" x14ac:dyDescent="0.3">
      <c r="A1458">
        <v>452</v>
      </c>
      <c r="B1458" t="s">
        <v>1283</v>
      </c>
      <c r="C1458" t="s">
        <v>1078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100</v>
      </c>
      <c r="K1458">
        <v>100</v>
      </c>
      <c r="L1458" s="39">
        <f t="shared" si="110"/>
        <v>1</v>
      </c>
      <c r="M1458" s="39">
        <f t="shared" si="111"/>
        <v>1</v>
      </c>
      <c r="P1458">
        <v>0</v>
      </c>
      <c r="Q1458">
        <v>0</v>
      </c>
      <c r="R1458" t="s">
        <v>3067</v>
      </c>
    </row>
    <row r="1459" spans="1:18" x14ac:dyDescent="0.3">
      <c r="A1459">
        <v>452</v>
      </c>
      <c r="B1459" t="s">
        <v>1283</v>
      </c>
      <c r="C1459" t="s">
        <v>1078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100</v>
      </c>
      <c r="K1459">
        <v>160</v>
      </c>
      <c r="L1459" s="39">
        <f t="shared" si="110"/>
        <v>1.3</v>
      </c>
      <c r="M1459" s="39">
        <f t="shared" si="111"/>
        <v>1.6</v>
      </c>
      <c r="P1459">
        <v>0</v>
      </c>
      <c r="Q1459">
        <v>0</v>
      </c>
      <c r="R1459" t="s">
        <v>1284</v>
      </c>
    </row>
    <row r="1460" spans="1:18" x14ac:dyDescent="0.3">
      <c r="A1460">
        <v>452</v>
      </c>
      <c r="B1460" t="s">
        <v>1283</v>
      </c>
      <c r="C1460" t="s">
        <v>1078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100</v>
      </c>
      <c r="K1460">
        <v>102.27</v>
      </c>
      <c r="L1460" s="39">
        <f t="shared" si="110"/>
        <v>1.0226999999999999</v>
      </c>
      <c r="M1460" s="39">
        <f t="shared" si="111"/>
        <v>1.0226999999999999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x14ac:dyDescent="0.3">
      <c r="A1461">
        <v>452</v>
      </c>
      <c r="B1461" t="s">
        <v>1283</v>
      </c>
      <c r="C1461" t="s">
        <v>1078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100</v>
      </c>
      <c r="K1461">
        <v>200</v>
      </c>
      <c r="L1461" s="39">
        <f t="shared" si="110"/>
        <v>1.3</v>
      </c>
      <c r="M1461" s="39">
        <f t="shared" si="111"/>
        <v>2</v>
      </c>
      <c r="N1461" t="s">
        <v>25</v>
      </c>
      <c r="O1461" t="s">
        <v>25</v>
      </c>
      <c r="P1461">
        <v>0</v>
      </c>
      <c r="Q1461">
        <v>0</v>
      </c>
      <c r="R1461" t="s">
        <v>1285</v>
      </c>
    </row>
    <row r="1462" spans="1:18" x14ac:dyDescent="0.3">
      <c r="A1462">
        <v>453</v>
      </c>
      <c r="B1462" t="s">
        <v>1286</v>
      </c>
      <c r="C1462" t="s">
        <v>1089</v>
      </c>
      <c r="D1462" t="s">
        <v>21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100</v>
      </c>
      <c r="K1462">
        <v>192</v>
      </c>
      <c r="L1462" s="39">
        <f t="shared" si="110"/>
        <v>1.3</v>
      </c>
      <c r="M1462" s="39">
        <f t="shared" si="111"/>
        <v>1.92</v>
      </c>
      <c r="P1462">
        <v>0</v>
      </c>
      <c r="Q1462">
        <v>0</v>
      </c>
      <c r="R1462" t="s">
        <v>3070</v>
      </c>
    </row>
    <row r="1463" spans="1:18" x14ac:dyDescent="0.3">
      <c r="A1463">
        <v>453</v>
      </c>
      <c r="B1463" t="s">
        <v>1286</v>
      </c>
      <c r="C1463" t="s">
        <v>1089</v>
      </c>
      <c r="D1463" t="s">
        <v>21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200</v>
      </c>
      <c r="K1463">
        <v>448</v>
      </c>
      <c r="L1463" s="39">
        <f t="shared" si="110"/>
        <v>1.3</v>
      </c>
      <c r="M1463" s="39">
        <f t="shared" si="111"/>
        <v>2.2400000000000002</v>
      </c>
      <c r="P1463">
        <v>0</v>
      </c>
      <c r="Q1463">
        <v>0</v>
      </c>
      <c r="R1463" t="s">
        <v>1287</v>
      </c>
    </row>
    <row r="1464" spans="1:18" x14ac:dyDescent="0.3">
      <c r="A1464">
        <v>453</v>
      </c>
      <c r="B1464" t="s">
        <v>1286</v>
      </c>
      <c r="C1464" t="s">
        <v>1089</v>
      </c>
      <c r="D1464" t="s">
        <v>27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200</v>
      </c>
      <c r="K1464">
        <v>148</v>
      </c>
      <c r="L1464" s="39">
        <f t="shared" si="110"/>
        <v>0.74</v>
      </c>
      <c r="M1464" s="39">
        <f t="shared" si="111"/>
        <v>0.74</v>
      </c>
      <c r="N1464" t="s">
        <v>25</v>
      </c>
      <c r="O1464" t="s">
        <v>25</v>
      </c>
      <c r="P1464">
        <v>0</v>
      </c>
      <c r="Q1464">
        <v>0</v>
      </c>
      <c r="R1464" t="s">
        <v>3073</v>
      </c>
    </row>
    <row r="1465" spans="1:18" x14ac:dyDescent="0.3">
      <c r="A1465">
        <v>453</v>
      </c>
      <c r="B1465" t="s">
        <v>1286</v>
      </c>
      <c r="C1465" t="s">
        <v>1089</v>
      </c>
      <c r="D1465" t="s">
        <v>27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200</v>
      </c>
      <c r="K1465">
        <v>200</v>
      </c>
      <c r="L1465" s="39">
        <f t="shared" si="110"/>
        <v>1</v>
      </c>
      <c r="M1465" s="39">
        <f t="shared" si="111"/>
        <v>1</v>
      </c>
      <c r="N1465" t="s">
        <v>25</v>
      </c>
      <c r="O1465" t="s">
        <v>25</v>
      </c>
      <c r="P1465">
        <v>0</v>
      </c>
      <c r="Q1465">
        <v>0</v>
      </c>
      <c r="R1465" t="s">
        <v>1288</v>
      </c>
    </row>
    <row r="1466" spans="1:18" x14ac:dyDescent="0.3">
      <c r="A1466">
        <v>454</v>
      </c>
      <c r="B1466" t="s">
        <v>1289</v>
      </c>
      <c r="C1466" t="s">
        <v>1089</v>
      </c>
      <c r="D1466" t="s">
        <v>21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L1466" s="39"/>
      <c r="M1466" s="39"/>
      <c r="P1466">
        <v>0</v>
      </c>
      <c r="Q1466">
        <v>0</v>
      </c>
      <c r="R1466" t="s">
        <v>3265</v>
      </c>
    </row>
    <row r="1467" spans="1:18" x14ac:dyDescent="0.3">
      <c r="A1467">
        <v>454</v>
      </c>
      <c r="B1467" t="s">
        <v>1289</v>
      </c>
      <c r="C1467" t="s">
        <v>1089</v>
      </c>
      <c r="D1467" t="s">
        <v>21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0</v>
      </c>
      <c r="K1467">
        <v>88</v>
      </c>
      <c r="L1467" s="39" t="str">
        <f>IFERROR(IF(OR(J1467=0,K1467=""),"",IF(E1467="Positivo",MIN(MAX(K1467/J1467,0),1.3),MIN(MAX(J1467/K1467,0),1.3))),"")</f>
        <v/>
      </c>
      <c r="M1467" s="39" t="str">
        <f>IFERROR(IF(OR(J1467=0,K1467=""),"",IF(E1467="Positivo",MAX(K1467/J1467,0),MAX(J1467/K1467,0))),"")</f>
        <v/>
      </c>
      <c r="P1467">
        <v>0</v>
      </c>
      <c r="Q1467">
        <v>0</v>
      </c>
      <c r="R1467" t="s">
        <v>1290</v>
      </c>
    </row>
    <row r="1468" spans="1:18" x14ac:dyDescent="0.3">
      <c r="A1468">
        <v>455</v>
      </c>
      <c r="B1468" t="s">
        <v>1291</v>
      </c>
      <c r="C1468" t="s">
        <v>1089</v>
      </c>
      <c r="D1468" t="s">
        <v>21</v>
      </c>
      <c r="E1468" t="s">
        <v>22</v>
      </c>
      <c r="F1468" s="79">
        <v>45473</v>
      </c>
      <c r="G1468">
        <v>2024</v>
      </c>
      <c r="H1468" t="s">
        <v>699</v>
      </c>
      <c r="I1468" t="s">
        <v>729</v>
      </c>
      <c r="L1468" s="39"/>
      <c r="M1468" s="39"/>
      <c r="P1468">
        <v>0</v>
      </c>
      <c r="Q1468">
        <v>0</v>
      </c>
      <c r="R1468" t="s">
        <v>3266</v>
      </c>
    </row>
    <row r="1469" spans="1:18" x14ac:dyDescent="0.3">
      <c r="A1469">
        <v>455</v>
      </c>
      <c r="B1469" t="s">
        <v>1291</v>
      </c>
      <c r="C1469" t="s">
        <v>1089</v>
      </c>
      <c r="D1469" t="s">
        <v>21</v>
      </c>
      <c r="E1469" t="s">
        <v>22</v>
      </c>
      <c r="F1469" s="79">
        <v>45657</v>
      </c>
      <c r="G1469">
        <v>2024</v>
      </c>
      <c r="H1469" t="s">
        <v>23</v>
      </c>
      <c r="I1469" t="s">
        <v>30</v>
      </c>
      <c r="J1469">
        <v>90</v>
      </c>
      <c r="K1469">
        <v>100</v>
      </c>
      <c r="L1469" s="39">
        <f t="shared" ref="L1469:L1480" si="112">IFERROR(IF(OR(J1469=0,K1469=""),"",IF(E1469="Positivo",MIN(MAX(K1469/J1469,0),1.3),MIN(MAX(J1469/K1469,0),1.3))),"")</f>
        <v>1.1111111111111112</v>
      </c>
      <c r="M1469" s="39">
        <f t="shared" ref="M1469:M1480" si="113">IFERROR(IF(OR(J1469=0,K1469=""),"",IF(E1469="Positivo",MAX(K1469/J1469,0),MAX(J1469/K1469,0))),"")</f>
        <v>1.1111111111111112</v>
      </c>
      <c r="P1469">
        <v>0</v>
      </c>
      <c r="Q1469">
        <v>0</v>
      </c>
      <c r="R1469" t="s">
        <v>1292</v>
      </c>
    </row>
    <row r="1470" spans="1:18" x14ac:dyDescent="0.3">
      <c r="A1470">
        <v>455</v>
      </c>
      <c r="B1470" t="s">
        <v>1291</v>
      </c>
      <c r="C1470" t="s">
        <v>1089</v>
      </c>
      <c r="D1470" t="s">
        <v>27</v>
      </c>
      <c r="E1470" t="s">
        <v>22</v>
      </c>
      <c r="F1470" s="79">
        <v>45838</v>
      </c>
      <c r="G1470">
        <v>2025</v>
      </c>
      <c r="H1470" t="s">
        <v>699</v>
      </c>
      <c r="I1470" t="s">
        <v>700</v>
      </c>
      <c r="J1470">
        <v>100</v>
      </c>
      <c r="K1470">
        <v>100</v>
      </c>
      <c r="L1470" s="39">
        <f t="shared" si="112"/>
        <v>1</v>
      </c>
      <c r="M1470" s="39">
        <f t="shared" si="113"/>
        <v>1</v>
      </c>
      <c r="N1470" t="s">
        <v>25</v>
      </c>
      <c r="O1470" t="s">
        <v>25</v>
      </c>
      <c r="P1470">
        <v>0</v>
      </c>
      <c r="Q1470">
        <v>0</v>
      </c>
      <c r="R1470" t="s">
        <v>3078</v>
      </c>
    </row>
    <row r="1471" spans="1:18" x14ac:dyDescent="0.3">
      <c r="A1471">
        <v>455</v>
      </c>
      <c r="B1471" t="s">
        <v>1291</v>
      </c>
      <c r="C1471" t="s">
        <v>1089</v>
      </c>
      <c r="D1471" t="s">
        <v>27</v>
      </c>
      <c r="E1471" t="s">
        <v>22</v>
      </c>
      <c r="F1471" s="79">
        <v>46022</v>
      </c>
      <c r="G1471">
        <v>2025</v>
      </c>
      <c r="H1471" t="s">
        <v>23</v>
      </c>
      <c r="I1471" t="s">
        <v>32</v>
      </c>
      <c r="J1471">
        <v>100</v>
      </c>
      <c r="K1471">
        <v>100</v>
      </c>
      <c r="L1471" s="39">
        <f t="shared" si="112"/>
        <v>1</v>
      </c>
      <c r="M1471" s="39">
        <f t="shared" si="113"/>
        <v>1</v>
      </c>
      <c r="N1471" t="s">
        <v>25</v>
      </c>
      <c r="O1471" t="s">
        <v>25</v>
      </c>
      <c r="P1471">
        <v>0</v>
      </c>
      <c r="Q1471">
        <v>0</v>
      </c>
      <c r="R1471" t="s">
        <v>1293</v>
      </c>
    </row>
    <row r="1472" spans="1:18" x14ac:dyDescent="0.3">
      <c r="A1472">
        <v>456</v>
      </c>
      <c r="B1472" t="s">
        <v>1294</v>
      </c>
      <c r="C1472" t="s">
        <v>149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100</v>
      </c>
      <c r="K1472">
        <v>100</v>
      </c>
      <c r="L1472" s="39">
        <f t="shared" si="112"/>
        <v>1</v>
      </c>
      <c r="M1472" s="39">
        <f t="shared" si="113"/>
        <v>1</v>
      </c>
      <c r="P1472">
        <v>0</v>
      </c>
      <c r="Q1472">
        <v>0</v>
      </c>
      <c r="R1472" t="s">
        <v>3080</v>
      </c>
    </row>
    <row r="1473" spans="1:18" x14ac:dyDescent="0.3">
      <c r="A1473">
        <v>456</v>
      </c>
      <c r="B1473" t="s">
        <v>1294</v>
      </c>
      <c r="C1473" t="s">
        <v>149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100</v>
      </c>
      <c r="K1473">
        <v>94.69</v>
      </c>
      <c r="L1473" s="39">
        <f t="shared" si="112"/>
        <v>0.94689999999999996</v>
      </c>
      <c r="M1473" s="39">
        <f t="shared" si="113"/>
        <v>0.94689999999999996</v>
      </c>
      <c r="P1473">
        <v>0</v>
      </c>
      <c r="Q1473">
        <v>0</v>
      </c>
      <c r="R1473" t="s">
        <v>1295</v>
      </c>
    </row>
    <row r="1474" spans="1:18" x14ac:dyDescent="0.3">
      <c r="A1474">
        <v>456</v>
      </c>
      <c r="B1474" t="s">
        <v>1294</v>
      </c>
      <c r="C1474" t="s">
        <v>149</v>
      </c>
      <c r="D1474" t="s">
        <v>27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105.185</v>
      </c>
      <c r="L1474" s="39">
        <f t="shared" si="112"/>
        <v>1.05185</v>
      </c>
      <c r="M1474" s="39">
        <f t="shared" si="113"/>
        <v>1.05185</v>
      </c>
      <c r="N1474" t="s">
        <v>25</v>
      </c>
      <c r="O1474" t="s">
        <v>25</v>
      </c>
      <c r="P1474">
        <v>0</v>
      </c>
      <c r="Q1474">
        <v>0</v>
      </c>
      <c r="R1474" t="s">
        <v>3082</v>
      </c>
    </row>
    <row r="1475" spans="1:18" x14ac:dyDescent="0.3">
      <c r="A1475">
        <v>456</v>
      </c>
      <c r="B1475" t="s">
        <v>1294</v>
      </c>
      <c r="C1475" t="s">
        <v>149</v>
      </c>
      <c r="D1475" t="s">
        <v>27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118</v>
      </c>
      <c r="L1475" s="39">
        <f t="shared" si="112"/>
        <v>1.18</v>
      </c>
      <c r="M1475" s="39">
        <f t="shared" si="113"/>
        <v>1.18</v>
      </c>
      <c r="N1475" t="s">
        <v>25</v>
      </c>
      <c r="O1475" t="s">
        <v>25</v>
      </c>
      <c r="P1475">
        <v>0</v>
      </c>
      <c r="Q1475">
        <v>0</v>
      </c>
      <c r="R1475" t="s">
        <v>1296</v>
      </c>
    </row>
    <row r="1476" spans="1:18" x14ac:dyDescent="0.3">
      <c r="A1476">
        <v>457</v>
      </c>
      <c r="B1476" t="s">
        <v>1297</v>
      </c>
      <c r="C1476" t="s">
        <v>149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90</v>
      </c>
      <c r="L1476" s="39">
        <f t="shared" si="112"/>
        <v>0.9</v>
      </c>
      <c r="M1476" s="39">
        <f t="shared" si="113"/>
        <v>0.9</v>
      </c>
      <c r="P1476">
        <v>0</v>
      </c>
      <c r="Q1476">
        <v>0</v>
      </c>
      <c r="R1476" t="s">
        <v>3084</v>
      </c>
    </row>
    <row r="1477" spans="1:18" x14ac:dyDescent="0.3">
      <c r="A1477">
        <v>457</v>
      </c>
      <c r="B1477" t="s">
        <v>1297</v>
      </c>
      <c r="C1477" t="s">
        <v>149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70</v>
      </c>
      <c r="L1477" s="39">
        <f t="shared" si="112"/>
        <v>0.7</v>
      </c>
      <c r="M1477" s="39">
        <f t="shared" si="113"/>
        <v>0.7</v>
      </c>
      <c r="P1477">
        <v>0</v>
      </c>
      <c r="Q1477">
        <v>0</v>
      </c>
      <c r="R1477" t="s">
        <v>1298</v>
      </c>
    </row>
    <row r="1478" spans="1:18" x14ac:dyDescent="0.3">
      <c r="A1478">
        <v>457</v>
      </c>
      <c r="B1478" t="s">
        <v>1297</v>
      </c>
      <c r="C1478" t="s">
        <v>149</v>
      </c>
      <c r="D1478" t="s">
        <v>27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141.66499999999999</v>
      </c>
      <c r="L1478" s="39">
        <f t="shared" si="112"/>
        <v>1.3</v>
      </c>
      <c r="M1478" s="39">
        <f t="shared" si="113"/>
        <v>1.41665</v>
      </c>
      <c r="N1478" t="s">
        <v>25</v>
      </c>
      <c r="O1478" t="s">
        <v>25</v>
      </c>
      <c r="P1478">
        <v>0</v>
      </c>
      <c r="Q1478">
        <v>0</v>
      </c>
      <c r="R1478" t="s">
        <v>3086</v>
      </c>
    </row>
    <row r="1479" spans="1:18" x14ac:dyDescent="0.3">
      <c r="A1479">
        <v>457</v>
      </c>
      <c r="B1479" t="s">
        <v>1297</v>
      </c>
      <c r="C1479" t="s">
        <v>149</v>
      </c>
      <c r="D1479" t="s">
        <v>27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84.52</v>
      </c>
      <c r="L1479" s="39">
        <f t="shared" si="112"/>
        <v>0.84519999999999995</v>
      </c>
      <c r="M1479" s="39">
        <f t="shared" si="113"/>
        <v>0.84519999999999995</v>
      </c>
      <c r="N1479" t="s">
        <v>25</v>
      </c>
      <c r="O1479" t="s">
        <v>25</v>
      </c>
      <c r="P1479">
        <v>0</v>
      </c>
      <c r="Q1479">
        <v>0</v>
      </c>
      <c r="R1479" t="s">
        <v>1299</v>
      </c>
    </row>
    <row r="1480" spans="1:18" x14ac:dyDescent="0.3">
      <c r="A1480">
        <v>459</v>
      </c>
      <c r="B1480" t="s">
        <v>1300</v>
      </c>
      <c r="C1480" t="s">
        <v>1078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130.43</v>
      </c>
      <c r="L1480" s="39">
        <f t="shared" si="112"/>
        <v>1.3</v>
      </c>
      <c r="M1480" s="39">
        <f t="shared" si="113"/>
        <v>1.3043</v>
      </c>
      <c r="P1480">
        <v>0</v>
      </c>
      <c r="Q1480">
        <v>0</v>
      </c>
      <c r="R1480" t="s">
        <v>3088</v>
      </c>
    </row>
    <row r="1481" spans="1:18" x14ac:dyDescent="0.3">
      <c r="A1481">
        <v>459</v>
      </c>
      <c r="B1481" t="s">
        <v>1300</v>
      </c>
      <c r="C1481" t="s">
        <v>1078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100</v>
      </c>
      <c r="L1481" s="39"/>
      <c r="M1481" s="39"/>
      <c r="N1481" t="s">
        <v>128</v>
      </c>
      <c r="O1481" t="s">
        <v>1949</v>
      </c>
      <c r="P1481">
        <v>0</v>
      </c>
      <c r="Q1481">
        <v>0</v>
      </c>
      <c r="R1481" t="s">
        <v>1301</v>
      </c>
    </row>
    <row r="1482" spans="1:18" x14ac:dyDescent="0.3">
      <c r="A1482">
        <v>460</v>
      </c>
      <c r="B1482" t="s">
        <v>1302</v>
      </c>
      <c r="C1482" t="s">
        <v>40</v>
      </c>
      <c r="D1482" t="s">
        <v>71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80</v>
      </c>
      <c r="K1482">
        <v>91.439688715953324</v>
      </c>
      <c r="L1482" s="39">
        <f t="shared" ref="L1482:L1500" si="114">IFERROR(IF(OR(J1482=0,K1482=""),"",IF(E1482="Positivo",MIN(MAX(K1482/J1482,0),1.3),MIN(MAX(J1482/K1482,0),1.3))),"")</f>
        <v>1.1429961089494165</v>
      </c>
      <c r="M1482" s="39">
        <f t="shared" ref="M1482:M1519" si="115">IFERROR(IF(OR(J1482=0,K1482=""),"",IF(E1482="Positivo",MAX(K1482/J1482,0),MAX(J1482/K1482,0))),"")</f>
        <v>1.1429961089494165</v>
      </c>
      <c r="P1482">
        <v>0</v>
      </c>
      <c r="Q1482">
        <v>0</v>
      </c>
      <c r="R1482" t="s">
        <v>1303</v>
      </c>
    </row>
    <row r="1483" spans="1:18" x14ac:dyDescent="0.3">
      <c r="A1483">
        <v>460</v>
      </c>
      <c r="B1483" t="s">
        <v>1302</v>
      </c>
      <c r="C1483" t="s">
        <v>40</v>
      </c>
      <c r="D1483" t="s">
        <v>71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80</v>
      </c>
      <c r="K1483">
        <v>84.18</v>
      </c>
      <c r="L1483" s="39">
        <f t="shared" si="114"/>
        <v>1.0522500000000001</v>
      </c>
      <c r="M1483" s="39">
        <f t="shared" si="115"/>
        <v>1.0522500000000001</v>
      </c>
      <c r="N1483" t="s">
        <v>25</v>
      </c>
      <c r="O1483" t="s">
        <v>25</v>
      </c>
      <c r="P1483">
        <v>0</v>
      </c>
      <c r="Q1483">
        <v>1</v>
      </c>
      <c r="R1483" t="s">
        <v>1305</v>
      </c>
    </row>
    <row r="1484" spans="1:18" x14ac:dyDescent="0.3">
      <c r="A1484">
        <v>462</v>
      </c>
      <c r="B1484" t="s">
        <v>1306</v>
      </c>
      <c r="C1484" t="s">
        <v>308</v>
      </c>
      <c r="D1484" t="s">
        <v>27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J1484">
        <v>85</v>
      </c>
      <c r="K1484">
        <v>100</v>
      </c>
      <c r="L1484" s="39">
        <f t="shared" si="114"/>
        <v>1.1764705882352942</v>
      </c>
      <c r="M1484" s="39">
        <f t="shared" si="115"/>
        <v>1.1764705882352942</v>
      </c>
      <c r="P1484">
        <v>0</v>
      </c>
      <c r="Q1484">
        <v>0</v>
      </c>
      <c r="R1484" t="s">
        <v>3090</v>
      </c>
    </row>
    <row r="1485" spans="1:18" x14ac:dyDescent="0.3">
      <c r="A1485">
        <v>462</v>
      </c>
      <c r="B1485" t="s">
        <v>1306</v>
      </c>
      <c r="C1485" t="s">
        <v>308</v>
      </c>
      <c r="D1485" t="s">
        <v>27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85</v>
      </c>
      <c r="K1485">
        <v>100</v>
      </c>
      <c r="L1485" s="39">
        <f t="shared" si="114"/>
        <v>1.1764705882352942</v>
      </c>
      <c r="M1485" s="39">
        <f t="shared" si="115"/>
        <v>1.1764705882352942</v>
      </c>
      <c r="P1485">
        <v>0</v>
      </c>
      <c r="Q1485">
        <v>0</v>
      </c>
      <c r="R1485" t="s">
        <v>1307</v>
      </c>
    </row>
    <row r="1486" spans="1:18" x14ac:dyDescent="0.3">
      <c r="A1486">
        <v>463</v>
      </c>
      <c r="B1486" t="s">
        <v>1308</v>
      </c>
      <c r="C1486" t="s">
        <v>40</v>
      </c>
      <c r="D1486" t="s">
        <v>27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J1486">
        <v>100</v>
      </c>
      <c r="K1486">
        <v>95</v>
      </c>
      <c r="L1486" s="39">
        <f t="shared" si="114"/>
        <v>0.95</v>
      </c>
      <c r="M1486" s="39">
        <f t="shared" si="115"/>
        <v>0.95</v>
      </c>
      <c r="P1486">
        <v>0</v>
      </c>
      <c r="Q1486">
        <v>0</v>
      </c>
      <c r="R1486" t="s">
        <v>3091</v>
      </c>
    </row>
    <row r="1487" spans="1:18" x14ac:dyDescent="0.3">
      <c r="A1487">
        <v>463</v>
      </c>
      <c r="B1487" t="s">
        <v>1308</v>
      </c>
      <c r="C1487" t="s">
        <v>40</v>
      </c>
      <c r="D1487" t="s">
        <v>27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100</v>
      </c>
      <c r="K1487">
        <v>100</v>
      </c>
      <c r="L1487" s="39">
        <f t="shared" si="114"/>
        <v>1</v>
      </c>
      <c r="M1487" s="39">
        <f t="shared" si="115"/>
        <v>1</v>
      </c>
      <c r="P1487">
        <v>0</v>
      </c>
      <c r="Q1487">
        <v>0</v>
      </c>
      <c r="R1487" t="s">
        <v>1309</v>
      </c>
    </row>
    <row r="1488" spans="1:18" x14ac:dyDescent="0.3">
      <c r="A1488">
        <v>465</v>
      </c>
      <c r="B1488" t="s">
        <v>1310</v>
      </c>
      <c r="C1488" t="s">
        <v>922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70</v>
      </c>
      <c r="K1488">
        <v>57.86</v>
      </c>
      <c r="L1488" s="39">
        <f t="shared" si="114"/>
        <v>0.82657142857142851</v>
      </c>
      <c r="M1488" s="39">
        <f t="shared" si="115"/>
        <v>0.82657142857142851</v>
      </c>
      <c r="P1488">
        <v>0</v>
      </c>
      <c r="Q1488">
        <v>0</v>
      </c>
      <c r="R1488" t="s">
        <v>3092</v>
      </c>
    </row>
    <row r="1489" spans="1:18" x14ac:dyDescent="0.3">
      <c r="A1489">
        <v>465</v>
      </c>
      <c r="B1489" t="s">
        <v>1310</v>
      </c>
      <c r="C1489" t="s">
        <v>922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56.83</v>
      </c>
      <c r="L1489" s="39">
        <f t="shared" si="114"/>
        <v>0.56830000000000003</v>
      </c>
      <c r="M1489" s="39">
        <f t="shared" si="115"/>
        <v>0.56830000000000003</v>
      </c>
      <c r="P1489">
        <v>0</v>
      </c>
      <c r="Q1489">
        <v>0</v>
      </c>
      <c r="R1489" t="s">
        <v>1311</v>
      </c>
    </row>
    <row r="1490" spans="1:18" x14ac:dyDescent="0.3">
      <c r="A1490">
        <v>466</v>
      </c>
      <c r="B1490" t="s">
        <v>1312</v>
      </c>
      <c r="C1490" t="s">
        <v>333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119.2</v>
      </c>
      <c r="L1490" s="39">
        <f t="shared" si="114"/>
        <v>1.1919999999999999</v>
      </c>
      <c r="M1490" s="39">
        <f t="shared" si="115"/>
        <v>1.1919999999999999</v>
      </c>
      <c r="N1490" t="s">
        <v>128</v>
      </c>
      <c r="O1490" t="s">
        <v>136</v>
      </c>
      <c r="P1490">
        <v>1</v>
      </c>
      <c r="Q1490">
        <v>1</v>
      </c>
      <c r="R1490" t="s">
        <v>3093</v>
      </c>
    </row>
    <row r="1491" spans="1:18" x14ac:dyDescent="0.3">
      <c r="A1491">
        <v>466</v>
      </c>
      <c r="B1491" t="s">
        <v>1312</v>
      </c>
      <c r="C1491" t="s">
        <v>653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107.6</v>
      </c>
      <c r="L1491" s="39">
        <f t="shared" si="114"/>
        <v>1.0759999999999998</v>
      </c>
      <c r="M1491" s="39">
        <f t="shared" si="115"/>
        <v>1.0759999999999998</v>
      </c>
      <c r="O1491" t="s">
        <v>136</v>
      </c>
      <c r="P1491">
        <v>0</v>
      </c>
      <c r="Q1491">
        <v>0</v>
      </c>
      <c r="R1491" t="s">
        <v>1313</v>
      </c>
    </row>
    <row r="1492" spans="1:18" x14ac:dyDescent="0.3">
      <c r="A1492">
        <v>466</v>
      </c>
      <c r="B1492" t="s">
        <v>1312</v>
      </c>
      <c r="C1492" t="s">
        <v>653</v>
      </c>
      <c r="D1492" t="s">
        <v>27</v>
      </c>
      <c r="E1492" t="s">
        <v>22</v>
      </c>
      <c r="F1492" s="79">
        <v>46022</v>
      </c>
      <c r="G1492">
        <v>2025</v>
      </c>
      <c r="H1492" t="s">
        <v>23</v>
      </c>
      <c r="I1492" t="s">
        <v>32</v>
      </c>
      <c r="J1492">
        <v>100</v>
      </c>
      <c r="K1492">
        <v>106.55</v>
      </c>
      <c r="L1492" s="39">
        <f t="shared" si="114"/>
        <v>1.0654999999999999</v>
      </c>
      <c r="M1492" s="39">
        <f t="shared" si="115"/>
        <v>1.0654999999999999</v>
      </c>
      <c r="O1492" t="s">
        <v>136</v>
      </c>
      <c r="P1492">
        <v>0</v>
      </c>
      <c r="Q1492">
        <v>0</v>
      </c>
      <c r="R1492" t="s">
        <v>1314</v>
      </c>
    </row>
    <row r="1493" spans="1:18" x14ac:dyDescent="0.3">
      <c r="A1493">
        <v>467</v>
      </c>
      <c r="B1493" t="s">
        <v>1315</v>
      </c>
      <c r="C1493" t="s">
        <v>653</v>
      </c>
      <c r="D1493" t="s">
        <v>27</v>
      </c>
      <c r="E1493" t="s">
        <v>22</v>
      </c>
      <c r="F1493" s="79">
        <v>45473</v>
      </c>
      <c r="G1493">
        <v>2024</v>
      </c>
      <c r="H1493" t="s">
        <v>699</v>
      </c>
      <c r="I1493" t="s">
        <v>729</v>
      </c>
      <c r="J1493">
        <v>100</v>
      </c>
      <c r="K1493">
        <v>121.25</v>
      </c>
      <c r="L1493" s="39">
        <f t="shared" si="114"/>
        <v>1.2124999999999999</v>
      </c>
      <c r="M1493" s="39">
        <f t="shared" si="115"/>
        <v>1.2124999999999999</v>
      </c>
      <c r="P1493">
        <v>0</v>
      </c>
      <c r="Q1493">
        <v>0</v>
      </c>
      <c r="R1493" t="s">
        <v>3095</v>
      </c>
    </row>
    <row r="1494" spans="1:18" x14ac:dyDescent="0.3">
      <c r="A1494">
        <v>467</v>
      </c>
      <c r="B1494" t="s">
        <v>1315</v>
      </c>
      <c r="C1494" t="s">
        <v>653</v>
      </c>
      <c r="D1494" t="s">
        <v>27</v>
      </c>
      <c r="E1494" t="s">
        <v>22</v>
      </c>
      <c r="F1494" s="79">
        <v>45657</v>
      </c>
      <c r="G1494">
        <v>2024</v>
      </c>
      <c r="H1494" t="s">
        <v>23</v>
      </c>
      <c r="I1494" t="s">
        <v>30</v>
      </c>
      <c r="J1494">
        <v>100</v>
      </c>
      <c r="K1494">
        <v>121.83</v>
      </c>
      <c r="L1494" s="39">
        <f t="shared" si="114"/>
        <v>1.2182999999999999</v>
      </c>
      <c r="M1494" s="39">
        <f t="shared" si="115"/>
        <v>1.2182999999999999</v>
      </c>
      <c r="P1494">
        <v>0</v>
      </c>
      <c r="Q1494">
        <v>0</v>
      </c>
      <c r="R1494" t="s">
        <v>1316</v>
      </c>
    </row>
    <row r="1495" spans="1:18" x14ac:dyDescent="0.3">
      <c r="A1495">
        <v>467</v>
      </c>
      <c r="B1495" t="s">
        <v>1315</v>
      </c>
      <c r="C1495" t="s">
        <v>653</v>
      </c>
      <c r="D1495" t="s">
        <v>21</v>
      </c>
      <c r="E1495" t="s">
        <v>22</v>
      </c>
      <c r="F1495" s="79">
        <v>45838</v>
      </c>
      <c r="G1495">
        <v>2025</v>
      </c>
      <c r="H1495" t="s">
        <v>699</v>
      </c>
      <c r="I1495" t="s">
        <v>700</v>
      </c>
      <c r="J1495">
        <v>100</v>
      </c>
      <c r="K1495">
        <v>118</v>
      </c>
      <c r="L1495" s="39">
        <f t="shared" si="114"/>
        <v>1.18</v>
      </c>
      <c r="M1495" s="39">
        <f t="shared" si="115"/>
        <v>1.18</v>
      </c>
      <c r="N1495" t="s">
        <v>128</v>
      </c>
      <c r="O1495" t="s">
        <v>136</v>
      </c>
      <c r="P1495">
        <v>0</v>
      </c>
      <c r="Q1495">
        <v>1</v>
      </c>
      <c r="R1495" t="s">
        <v>3096</v>
      </c>
    </row>
    <row r="1496" spans="1:18" x14ac:dyDescent="0.3">
      <c r="A1496">
        <v>467</v>
      </c>
      <c r="B1496" t="s">
        <v>1315</v>
      </c>
      <c r="C1496" t="s">
        <v>653</v>
      </c>
      <c r="D1496" t="s">
        <v>21</v>
      </c>
      <c r="E1496" t="s">
        <v>22</v>
      </c>
      <c r="F1496" s="79">
        <v>46022</v>
      </c>
      <c r="G1496">
        <v>2025</v>
      </c>
      <c r="H1496" t="s">
        <v>23</v>
      </c>
      <c r="I1496" t="s">
        <v>32</v>
      </c>
      <c r="J1496">
        <v>100</v>
      </c>
      <c r="K1496">
        <v>99.5</v>
      </c>
      <c r="L1496" s="39">
        <f t="shared" si="114"/>
        <v>0.995</v>
      </c>
      <c r="M1496" s="39">
        <f t="shared" si="115"/>
        <v>0.995</v>
      </c>
      <c r="N1496" t="s">
        <v>128</v>
      </c>
      <c r="O1496" t="s">
        <v>136</v>
      </c>
      <c r="P1496">
        <v>0</v>
      </c>
      <c r="Q1496">
        <v>1</v>
      </c>
      <c r="R1496" t="s">
        <v>1317</v>
      </c>
    </row>
    <row r="1497" spans="1:18" x14ac:dyDescent="0.3">
      <c r="A1497">
        <v>468</v>
      </c>
      <c r="B1497" t="s">
        <v>1318</v>
      </c>
      <c r="C1497" t="s">
        <v>653</v>
      </c>
      <c r="D1497" t="s">
        <v>27</v>
      </c>
      <c r="E1497" t="s">
        <v>41</v>
      </c>
      <c r="F1497" s="79">
        <v>45473</v>
      </c>
      <c r="G1497">
        <v>2024</v>
      </c>
      <c r="H1497" t="s">
        <v>699</v>
      </c>
      <c r="I1497" t="s">
        <v>729</v>
      </c>
      <c r="J1497">
        <v>3</v>
      </c>
      <c r="K1497">
        <v>2.85</v>
      </c>
      <c r="L1497" s="39">
        <f t="shared" si="114"/>
        <v>1.0526315789473684</v>
      </c>
      <c r="M1497" s="39">
        <f t="shared" si="115"/>
        <v>1.0526315789473684</v>
      </c>
      <c r="P1497">
        <v>0</v>
      </c>
      <c r="Q1497">
        <v>0</v>
      </c>
      <c r="R1497" t="s">
        <v>3097</v>
      </c>
    </row>
    <row r="1498" spans="1:18" x14ac:dyDescent="0.3">
      <c r="A1498">
        <v>468</v>
      </c>
      <c r="B1498" t="s">
        <v>1318</v>
      </c>
      <c r="C1498" t="s">
        <v>653</v>
      </c>
      <c r="D1498" t="s">
        <v>27</v>
      </c>
      <c r="E1498" t="s">
        <v>41</v>
      </c>
      <c r="F1498" s="79">
        <v>45657</v>
      </c>
      <c r="G1498">
        <v>2024</v>
      </c>
      <c r="H1498" t="s">
        <v>23</v>
      </c>
      <c r="I1498" t="s">
        <v>30</v>
      </c>
      <c r="J1498">
        <v>3</v>
      </c>
      <c r="K1498">
        <v>2.6</v>
      </c>
      <c r="L1498" s="39">
        <f t="shared" si="114"/>
        <v>1.1538461538461537</v>
      </c>
      <c r="M1498" s="39">
        <f t="shared" si="115"/>
        <v>1.1538461538461537</v>
      </c>
      <c r="P1498">
        <v>0</v>
      </c>
      <c r="Q1498">
        <v>0</v>
      </c>
      <c r="R1498" t="s">
        <v>1319</v>
      </c>
    </row>
    <row r="1499" spans="1:18" x14ac:dyDescent="0.3">
      <c r="A1499">
        <v>468</v>
      </c>
      <c r="B1499" t="s">
        <v>1318</v>
      </c>
      <c r="C1499" t="s">
        <v>653</v>
      </c>
      <c r="D1499" t="s">
        <v>21</v>
      </c>
      <c r="E1499" t="s">
        <v>41</v>
      </c>
      <c r="F1499" s="79">
        <v>45838</v>
      </c>
      <c r="G1499">
        <v>2025</v>
      </c>
      <c r="H1499" t="s">
        <v>699</v>
      </c>
      <c r="I1499" t="s">
        <v>700</v>
      </c>
      <c r="J1499">
        <v>2.5</v>
      </c>
      <c r="K1499">
        <v>2.4</v>
      </c>
      <c r="L1499" s="39">
        <f t="shared" si="114"/>
        <v>1.0416666666666667</v>
      </c>
      <c r="M1499" s="39">
        <f t="shared" si="115"/>
        <v>1.0416666666666667</v>
      </c>
      <c r="N1499" t="s">
        <v>136</v>
      </c>
      <c r="O1499" t="s">
        <v>136</v>
      </c>
      <c r="P1499">
        <v>1</v>
      </c>
      <c r="Q1499">
        <v>1</v>
      </c>
      <c r="R1499" t="s">
        <v>3098</v>
      </c>
    </row>
    <row r="1500" spans="1:18" x14ac:dyDescent="0.3">
      <c r="A1500">
        <v>468</v>
      </c>
      <c r="B1500" t="s">
        <v>1318</v>
      </c>
      <c r="C1500" t="s">
        <v>653</v>
      </c>
      <c r="D1500" t="s">
        <v>21</v>
      </c>
      <c r="E1500" t="s">
        <v>41</v>
      </c>
      <c r="F1500" s="79">
        <v>46022</v>
      </c>
      <c r="G1500">
        <v>2025</v>
      </c>
      <c r="H1500" t="s">
        <v>23</v>
      </c>
      <c r="I1500" t="s">
        <v>32</v>
      </c>
      <c r="J1500">
        <v>2.5</v>
      </c>
      <c r="K1500">
        <v>2.1</v>
      </c>
      <c r="L1500" s="39">
        <f t="shared" si="114"/>
        <v>1.1904761904761905</v>
      </c>
      <c r="M1500" s="39">
        <f t="shared" si="115"/>
        <v>1.1904761904761905</v>
      </c>
      <c r="N1500" t="s">
        <v>136</v>
      </c>
      <c r="O1500" t="s">
        <v>136</v>
      </c>
      <c r="P1500">
        <v>1</v>
      </c>
      <c r="Q1500">
        <v>1</v>
      </c>
      <c r="R1500" t="s">
        <v>1320</v>
      </c>
    </row>
    <row r="1501" spans="1:18" x14ac:dyDescent="0.3">
      <c r="A1501">
        <v>469</v>
      </c>
      <c r="B1501" t="s">
        <v>1176</v>
      </c>
      <c r="C1501" t="s">
        <v>567</v>
      </c>
      <c r="D1501" t="s">
        <v>21</v>
      </c>
      <c r="E1501" t="s">
        <v>22</v>
      </c>
      <c r="F1501" s="79">
        <v>45473</v>
      </c>
      <c r="G1501">
        <v>2024</v>
      </c>
      <c r="H1501" t="s">
        <v>699</v>
      </c>
      <c r="I1501" t="s">
        <v>729</v>
      </c>
      <c r="J1501">
        <v>100</v>
      </c>
      <c r="K1501">
        <v>114.33</v>
      </c>
      <c r="L1501" s="39">
        <f t="shared" ref="L1501:L1512" si="116">IFERROR(IF(OR(J1501=0,K1501=""),"",IF(E1501="Positivo",MIN(MAX(K1501/J1501,0),1),MIN(MAX(J1501/K1501,0),1))),"")</f>
        <v>1</v>
      </c>
      <c r="M1501" s="39">
        <f t="shared" si="115"/>
        <v>1.1433</v>
      </c>
      <c r="P1501">
        <v>0</v>
      </c>
      <c r="Q1501">
        <v>0</v>
      </c>
      <c r="R1501" t="s">
        <v>3101</v>
      </c>
    </row>
    <row r="1502" spans="1:18" x14ac:dyDescent="0.3">
      <c r="A1502">
        <v>469</v>
      </c>
      <c r="B1502" t="s">
        <v>1176</v>
      </c>
      <c r="C1502" t="s">
        <v>567</v>
      </c>
      <c r="D1502" t="s">
        <v>21</v>
      </c>
      <c r="E1502" t="s">
        <v>22</v>
      </c>
      <c r="F1502" s="79">
        <v>45657</v>
      </c>
      <c r="G1502">
        <v>2024</v>
      </c>
      <c r="H1502" t="s">
        <v>23</v>
      </c>
      <c r="I1502" t="s">
        <v>30</v>
      </c>
      <c r="J1502">
        <v>100</v>
      </c>
      <c r="K1502">
        <v>99.7</v>
      </c>
      <c r="L1502" s="39">
        <f t="shared" si="116"/>
        <v>0.997</v>
      </c>
      <c r="M1502" s="39">
        <f t="shared" si="115"/>
        <v>0.997</v>
      </c>
      <c r="P1502">
        <v>0</v>
      </c>
      <c r="Q1502">
        <v>0</v>
      </c>
      <c r="R1502" t="s">
        <v>1321</v>
      </c>
    </row>
    <row r="1503" spans="1:18" x14ac:dyDescent="0.3">
      <c r="A1503">
        <v>469</v>
      </c>
      <c r="B1503" t="s">
        <v>1176</v>
      </c>
      <c r="C1503" t="s">
        <v>567</v>
      </c>
      <c r="D1503" t="s">
        <v>27</v>
      </c>
      <c r="E1503" t="s">
        <v>22</v>
      </c>
      <c r="F1503" s="79">
        <v>45838</v>
      </c>
      <c r="G1503">
        <v>2025</v>
      </c>
      <c r="H1503" t="s">
        <v>699</v>
      </c>
      <c r="I1503" t="s">
        <v>700</v>
      </c>
      <c r="J1503">
        <v>100</v>
      </c>
      <c r="K1503">
        <v>103.52</v>
      </c>
      <c r="L1503" s="39">
        <f t="shared" si="116"/>
        <v>1</v>
      </c>
      <c r="M1503" s="39">
        <f t="shared" si="115"/>
        <v>1.0351999999999999</v>
      </c>
      <c r="N1503" t="s">
        <v>25</v>
      </c>
      <c r="O1503" t="s">
        <v>25</v>
      </c>
      <c r="P1503">
        <v>0</v>
      </c>
      <c r="Q1503">
        <v>0</v>
      </c>
      <c r="R1503" t="s">
        <v>3104</v>
      </c>
    </row>
    <row r="1504" spans="1:18" x14ac:dyDescent="0.3">
      <c r="A1504">
        <v>469</v>
      </c>
      <c r="B1504" t="s">
        <v>1176</v>
      </c>
      <c r="C1504" t="s">
        <v>567</v>
      </c>
      <c r="D1504" t="s">
        <v>27</v>
      </c>
      <c r="E1504" t="s">
        <v>22</v>
      </c>
      <c r="F1504" s="79">
        <v>46022</v>
      </c>
      <c r="G1504">
        <v>2025</v>
      </c>
      <c r="H1504" t="s">
        <v>23</v>
      </c>
      <c r="I1504" t="s">
        <v>32</v>
      </c>
      <c r="J1504">
        <v>100</v>
      </c>
      <c r="K1504">
        <v>99.13</v>
      </c>
      <c r="L1504" s="39">
        <f t="shared" si="116"/>
        <v>0.99129999999999996</v>
      </c>
      <c r="M1504" s="39">
        <f t="shared" si="115"/>
        <v>0.99129999999999996</v>
      </c>
      <c r="N1504" t="s">
        <v>25</v>
      </c>
      <c r="O1504" t="s">
        <v>25</v>
      </c>
      <c r="P1504">
        <v>0</v>
      </c>
      <c r="Q1504">
        <v>0</v>
      </c>
      <c r="R1504" t="s">
        <v>1322</v>
      </c>
    </row>
    <row r="1505" spans="1:18" x14ac:dyDescent="0.3">
      <c r="A1505">
        <v>470</v>
      </c>
      <c r="B1505" t="s">
        <v>1323</v>
      </c>
      <c r="C1505" t="s">
        <v>567</v>
      </c>
      <c r="D1505" t="s">
        <v>21</v>
      </c>
      <c r="E1505" t="s">
        <v>22</v>
      </c>
      <c r="F1505" s="79">
        <v>45473</v>
      </c>
      <c r="G1505">
        <v>2024</v>
      </c>
      <c r="H1505" t="s">
        <v>699</v>
      </c>
      <c r="I1505" t="s">
        <v>729</v>
      </c>
      <c r="J1505">
        <v>100</v>
      </c>
      <c r="K1505">
        <v>118.1</v>
      </c>
      <c r="L1505" s="39">
        <f t="shared" si="116"/>
        <v>1</v>
      </c>
      <c r="M1505" s="39">
        <f t="shared" si="115"/>
        <v>1.181</v>
      </c>
      <c r="P1505">
        <v>0</v>
      </c>
      <c r="Q1505">
        <v>0</v>
      </c>
      <c r="R1505" t="s">
        <v>3107</v>
      </c>
    </row>
    <row r="1506" spans="1:18" x14ac:dyDescent="0.3">
      <c r="A1506">
        <v>470</v>
      </c>
      <c r="B1506" t="s">
        <v>1323</v>
      </c>
      <c r="C1506" t="s">
        <v>567</v>
      </c>
      <c r="D1506" t="s">
        <v>21</v>
      </c>
      <c r="E1506" t="s">
        <v>22</v>
      </c>
      <c r="F1506" s="79">
        <v>45657</v>
      </c>
      <c r="G1506">
        <v>2024</v>
      </c>
      <c r="H1506" t="s">
        <v>23</v>
      </c>
      <c r="I1506" t="s">
        <v>30</v>
      </c>
      <c r="J1506">
        <v>100</v>
      </c>
      <c r="K1506">
        <v>100</v>
      </c>
      <c r="L1506" s="39">
        <f t="shared" si="116"/>
        <v>1</v>
      </c>
      <c r="M1506" s="39">
        <f t="shared" si="115"/>
        <v>1</v>
      </c>
      <c r="P1506">
        <v>0</v>
      </c>
      <c r="Q1506">
        <v>0</v>
      </c>
      <c r="R1506" t="s">
        <v>1324</v>
      </c>
    </row>
    <row r="1507" spans="1:18" x14ac:dyDescent="0.3">
      <c r="A1507">
        <v>470</v>
      </c>
      <c r="B1507" t="s">
        <v>1323</v>
      </c>
      <c r="C1507" t="s">
        <v>567</v>
      </c>
      <c r="D1507" t="s">
        <v>27</v>
      </c>
      <c r="E1507" t="s">
        <v>22</v>
      </c>
      <c r="F1507" s="79">
        <v>45838</v>
      </c>
      <c r="G1507">
        <v>2025</v>
      </c>
      <c r="H1507" t="s">
        <v>699</v>
      </c>
      <c r="I1507" t="s">
        <v>700</v>
      </c>
      <c r="J1507">
        <v>100</v>
      </c>
      <c r="K1507">
        <v>148.38</v>
      </c>
      <c r="L1507" s="39">
        <f t="shared" si="116"/>
        <v>1</v>
      </c>
      <c r="M1507" s="39">
        <f t="shared" si="115"/>
        <v>1.4838</v>
      </c>
      <c r="N1507" t="s">
        <v>25</v>
      </c>
      <c r="O1507" t="s">
        <v>25</v>
      </c>
      <c r="P1507">
        <v>0</v>
      </c>
      <c r="Q1507">
        <v>0</v>
      </c>
      <c r="R1507" t="s">
        <v>3110</v>
      </c>
    </row>
    <row r="1508" spans="1:18" x14ac:dyDescent="0.3">
      <c r="A1508">
        <v>470</v>
      </c>
      <c r="B1508" t="s">
        <v>1323</v>
      </c>
      <c r="C1508" t="s">
        <v>567</v>
      </c>
      <c r="D1508" t="s">
        <v>27</v>
      </c>
      <c r="E1508" t="s">
        <v>22</v>
      </c>
      <c r="F1508" s="79">
        <v>46022</v>
      </c>
      <c r="G1508">
        <v>2025</v>
      </c>
      <c r="H1508" t="s">
        <v>23</v>
      </c>
      <c r="I1508" t="s">
        <v>32</v>
      </c>
      <c r="J1508">
        <v>100</v>
      </c>
      <c r="K1508">
        <v>100</v>
      </c>
      <c r="L1508" s="39">
        <f t="shared" si="116"/>
        <v>1</v>
      </c>
      <c r="M1508" s="39">
        <f t="shared" si="115"/>
        <v>1</v>
      </c>
      <c r="N1508" t="s">
        <v>25</v>
      </c>
      <c r="O1508" t="s">
        <v>25</v>
      </c>
      <c r="P1508">
        <v>0</v>
      </c>
      <c r="Q1508">
        <v>0</v>
      </c>
      <c r="R1508" t="s">
        <v>1325</v>
      </c>
    </row>
    <row r="1509" spans="1:18" x14ac:dyDescent="0.3">
      <c r="A1509">
        <v>471</v>
      </c>
      <c r="B1509" t="s">
        <v>1326</v>
      </c>
      <c r="C1509" t="s">
        <v>567</v>
      </c>
      <c r="D1509" t="s">
        <v>21</v>
      </c>
      <c r="E1509" t="s">
        <v>22</v>
      </c>
      <c r="F1509" s="79">
        <v>45473</v>
      </c>
      <c r="G1509">
        <v>2024</v>
      </c>
      <c r="H1509" t="s">
        <v>699</v>
      </c>
      <c r="I1509" t="s">
        <v>729</v>
      </c>
      <c r="J1509">
        <v>100</v>
      </c>
      <c r="K1509">
        <v>105.56</v>
      </c>
      <c r="L1509" s="39">
        <f t="shared" si="116"/>
        <v>1</v>
      </c>
      <c r="M1509" s="39">
        <f t="shared" si="115"/>
        <v>1.0556000000000001</v>
      </c>
      <c r="P1509">
        <v>0</v>
      </c>
      <c r="Q1509">
        <v>0</v>
      </c>
      <c r="R1509" t="s">
        <v>3113</v>
      </c>
    </row>
    <row r="1510" spans="1:18" x14ac:dyDescent="0.3">
      <c r="A1510">
        <v>471</v>
      </c>
      <c r="B1510" t="s">
        <v>1326</v>
      </c>
      <c r="C1510" t="s">
        <v>567</v>
      </c>
      <c r="D1510" t="s">
        <v>21</v>
      </c>
      <c r="E1510" t="s">
        <v>22</v>
      </c>
      <c r="F1510" s="79">
        <v>45657</v>
      </c>
      <c r="G1510">
        <v>2024</v>
      </c>
      <c r="H1510" t="s">
        <v>23</v>
      </c>
      <c r="I1510" t="s">
        <v>30</v>
      </c>
      <c r="J1510">
        <v>100</v>
      </c>
      <c r="K1510">
        <v>99</v>
      </c>
      <c r="L1510" s="39">
        <f t="shared" si="116"/>
        <v>0.99</v>
      </c>
      <c r="M1510" s="39">
        <f t="shared" si="115"/>
        <v>0.99</v>
      </c>
      <c r="P1510">
        <v>0</v>
      </c>
      <c r="Q1510">
        <v>0</v>
      </c>
      <c r="R1510" t="s">
        <v>1327</v>
      </c>
    </row>
    <row r="1511" spans="1:18" x14ac:dyDescent="0.3">
      <c r="A1511">
        <v>471</v>
      </c>
      <c r="B1511" t="s">
        <v>1326</v>
      </c>
      <c r="C1511" t="s">
        <v>567</v>
      </c>
      <c r="D1511" t="s">
        <v>27</v>
      </c>
      <c r="E1511" t="s">
        <v>22</v>
      </c>
      <c r="F1511" s="79">
        <v>45838</v>
      </c>
      <c r="G1511">
        <v>2025</v>
      </c>
      <c r="H1511" t="s">
        <v>699</v>
      </c>
      <c r="I1511" t="s">
        <v>700</v>
      </c>
      <c r="J1511">
        <v>100</v>
      </c>
      <c r="K1511">
        <v>94.02</v>
      </c>
      <c r="L1511" s="39">
        <f t="shared" si="116"/>
        <v>0.94019999999999992</v>
      </c>
      <c r="M1511" s="39">
        <f t="shared" si="115"/>
        <v>0.94019999999999992</v>
      </c>
      <c r="N1511" t="s">
        <v>25</v>
      </c>
      <c r="O1511" t="s">
        <v>25</v>
      </c>
      <c r="P1511">
        <v>0</v>
      </c>
      <c r="Q1511">
        <v>0</v>
      </c>
      <c r="R1511" t="s">
        <v>3116</v>
      </c>
    </row>
    <row r="1512" spans="1:18" x14ac:dyDescent="0.3">
      <c r="A1512">
        <v>471</v>
      </c>
      <c r="B1512" t="s">
        <v>1326</v>
      </c>
      <c r="C1512" t="s">
        <v>567</v>
      </c>
      <c r="D1512" t="s">
        <v>27</v>
      </c>
      <c r="E1512" t="s">
        <v>22</v>
      </c>
      <c r="F1512" s="79">
        <v>46022</v>
      </c>
      <c r="G1512">
        <v>2025</v>
      </c>
      <c r="H1512" t="s">
        <v>23</v>
      </c>
      <c r="I1512" t="s">
        <v>32</v>
      </c>
      <c r="J1512">
        <v>100</v>
      </c>
      <c r="K1512">
        <v>99.86</v>
      </c>
      <c r="L1512" s="39">
        <f t="shared" si="116"/>
        <v>0.99860000000000004</v>
      </c>
      <c r="M1512" s="39">
        <f t="shared" si="115"/>
        <v>0.99860000000000004</v>
      </c>
      <c r="N1512" t="s">
        <v>25</v>
      </c>
      <c r="O1512" t="s">
        <v>25</v>
      </c>
      <c r="P1512">
        <v>0</v>
      </c>
      <c r="Q1512">
        <v>0</v>
      </c>
      <c r="R1512" t="s">
        <v>1328</v>
      </c>
    </row>
    <row r="1513" spans="1:18" x14ac:dyDescent="0.3">
      <c r="A1513">
        <v>472</v>
      </c>
      <c r="B1513" t="s">
        <v>1329</v>
      </c>
      <c r="C1513" t="s">
        <v>922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82.1</v>
      </c>
      <c r="L1513" s="39">
        <f t="shared" ref="L1513:L1519" si="117">IFERROR(IF(OR(J1513=0,K1513=""),"",IF(E1513="Positivo",MIN(MAX(K1513/J1513,0),1.3),MIN(MAX(J1513/K1513,0),1.3))),"")</f>
        <v>0.82099999999999995</v>
      </c>
      <c r="M1513" s="39">
        <f t="shared" si="115"/>
        <v>0.82099999999999995</v>
      </c>
      <c r="P1513">
        <v>0</v>
      </c>
      <c r="Q1513">
        <v>0</v>
      </c>
      <c r="R1513" t="s">
        <v>3118</v>
      </c>
    </row>
    <row r="1514" spans="1:18" x14ac:dyDescent="0.3">
      <c r="A1514">
        <v>472</v>
      </c>
      <c r="B1514" t="s">
        <v>1329</v>
      </c>
      <c r="C1514" t="s">
        <v>922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1330</v>
      </c>
    </row>
    <row r="1515" spans="1:18" x14ac:dyDescent="0.3">
      <c r="A1515">
        <v>473</v>
      </c>
      <c r="B1515" t="s">
        <v>3119</v>
      </c>
      <c r="C1515" t="s">
        <v>549</v>
      </c>
      <c r="D1515" t="s">
        <v>27</v>
      </c>
      <c r="E1515" t="s">
        <v>22</v>
      </c>
      <c r="F1515" s="79">
        <v>45473</v>
      </c>
      <c r="G1515">
        <v>2024</v>
      </c>
      <c r="H1515" t="s">
        <v>699</v>
      </c>
      <c r="I1515" t="s">
        <v>729</v>
      </c>
      <c r="J1515">
        <v>100</v>
      </c>
      <c r="K1515">
        <v>100</v>
      </c>
      <c r="L1515" s="39">
        <f t="shared" si="117"/>
        <v>1</v>
      </c>
      <c r="M1515" s="39">
        <f t="shared" si="115"/>
        <v>1</v>
      </c>
      <c r="P1515">
        <v>0</v>
      </c>
      <c r="Q1515">
        <v>0</v>
      </c>
      <c r="R1515" t="s">
        <v>3120</v>
      </c>
    </row>
    <row r="1516" spans="1:18" x14ac:dyDescent="0.3">
      <c r="A1516">
        <v>473</v>
      </c>
      <c r="B1516" t="s">
        <v>1331</v>
      </c>
      <c r="C1516" t="s">
        <v>549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9">
        <f t="shared" si="117"/>
        <v>1</v>
      </c>
      <c r="M1516" s="39">
        <f t="shared" si="115"/>
        <v>1</v>
      </c>
      <c r="P1516">
        <v>0</v>
      </c>
      <c r="Q1516">
        <v>0</v>
      </c>
      <c r="R1516" t="s">
        <v>1332</v>
      </c>
    </row>
    <row r="1517" spans="1:18" x14ac:dyDescent="0.3">
      <c r="A1517">
        <v>473</v>
      </c>
      <c r="B1517" t="s">
        <v>1331</v>
      </c>
      <c r="C1517" t="s">
        <v>549</v>
      </c>
      <c r="D1517" t="s">
        <v>27</v>
      </c>
      <c r="E1517" t="s">
        <v>22</v>
      </c>
      <c r="F1517" s="79">
        <v>45838</v>
      </c>
      <c r="G1517">
        <v>2025</v>
      </c>
      <c r="H1517" t="s">
        <v>699</v>
      </c>
      <c r="I1517" t="s">
        <v>700</v>
      </c>
      <c r="J1517">
        <v>100</v>
      </c>
      <c r="K1517">
        <v>100</v>
      </c>
      <c r="L1517" s="39">
        <f t="shared" si="117"/>
        <v>1</v>
      </c>
      <c r="M1517" s="39">
        <f t="shared" si="115"/>
        <v>1</v>
      </c>
      <c r="P1517">
        <v>0</v>
      </c>
      <c r="Q1517">
        <v>0</v>
      </c>
      <c r="R1517" t="s">
        <v>1333</v>
      </c>
    </row>
    <row r="1518" spans="1:18" x14ac:dyDescent="0.3">
      <c r="A1518">
        <v>474</v>
      </c>
      <c r="B1518" t="s">
        <v>1334</v>
      </c>
      <c r="C1518" t="s">
        <v>1059</v>
      </c>
      <c r="D1518" t="s">
        <v>27</v>
      </c>
      <c r="E1518" t="s">
        <v>22</v>
      </c>
      <c r="F1518" s="79">
        <v>45473</v>
      </c>
      <c r="G1518">
        <v>2024</v>
      </c>
      <c r="H1518" t="s">
        <v>699</v>
      </c>
      <c r="I1518" t="s">
        <v>729</v>
      </c>
      <c r="J1518">
        <v>100</v>
      </c>
      <c r="K1518">
        <v>100</v>
      </c>
      <c r="L1518" s="39">
        <f t="shared" si="117"/>
        <v>1</v>
      </c>
      <c r="M1518" s="39">
        <f t="shared" si="115"/>
        <v>1</v>
      </c>
      <c r="P1518">
        <v>0</v>
      </c>
      <c r="Q1518">
        <v>0</v>
      </c>
      <c r="R1518" t="s">
        <v>3122</v>
      </c>
    </row>
    <row r="1519" spans="1:18" x14ac:dyDescent="0.3">
      <c r="A1519">
        <v>474</v>
      </c>
      <c r="B1519" t="s">
        <v>1334</v>
      </c>
      <c r="C1519" t="s">
        <v>1059</v>
      </c>
      <c r="D1519" t="s">
        <v>27</v>
      </c>
      <c r="E1519" t="s">
        <v>22</v>
      </c>
      <c r="F1519" s="79">
        <v>45657</v>
      </c>
      <c r="G1519">
        <v>2024</v>
      </c>
      <c r="H1519" t="s">
        <v>23</v>
      </c>
      <c r="I1519" t="s">
        <v>30</v>
      </c>
      <c r="J1519">
        <v>100</v>
      </c>
      <c r="K1519">
        <v>100</v>
      </c>
      <c r="L1519" s="39">
        <f t="shared" si="117"/>
        <v>1</v>
      </c>
      <c r="M1519" s="39">
        <f t="shared" si="115"/>
        <v>1</v>
      </c>
      <c r="P1519">
        <v>0</v>
      </c>
      <c r="Q1519">
        <v>0</v>
      </c>
      <c r="R1519" t="s">
        <v>1335</v>
      </c>
    </row>
    <row r="1520" spans="1:18" x14ac:dyDescent="0.3">
      <c r="A1520">
        <v>474</v>
      </c>
      <c r="B1520" t="s">
        <v>1334</v>
      </c>
      <c r="C1520" t="s">
        <v>1059</v>
      </c>
      <c r="D1520" t="s">
        <v>21</v>
      </c>
      <c r="E1520" t="s">
        <v>22</v>
      </c>
      <c r="F1520" s="79">
        <v>45838</v>
      </c>
      <c r="G1520">
        <v>2025</v>
      </c>
      <c r="H1520" t="s">
        <v>699</v>
      </c>
      <c r="I1520" t="s">
        <v>700</v>
      </c>
      <c r="K1520">
        <v>0</v>
      </c>
      <c r="L1520" s="39"/>
      <c r="M1520" s="39"/>
      <c r="N1520" t="s">
        <v>128</v>
      </c>
      <c r="O1520" t="s">
        <v>128</v>
      </c>
      <c r="P1520">
        <v>0</v>
      </c>
      <c r="Q1520">
        <v>0</v>
      </c>
      <c r="R1520" t="s">
        <v>3123</v>
      </c>
    </row>
    <row r="1521" spans="1:18" x14ac:dyDescent="0.3">
      <c r="A1521">
        <v>475</v>
      </c>
      <c r="B1521" t="s">
        <v>1337</v>
      </c>
      <c r="C1521" t="s">
        <v>819</v>
      </c>
      <c r="D1521" t="s">
        <v>27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L1521" s="39"/>
      <c r="M1521" s="39"/>
      <c r="P1521">
        <v>0</v>
      </c>
      <c r="Q1521">
        <v>0</v>
      </c>
      <c r="R1521" t="s">
        <v>3124</v>
      </c>
    </row>
    <row r="1522" spans="1:18" x14ac:dyDescent="0.3">
      <c r="A1522">
        <v>475</v>
      </c>
      <c r="B1522" t="s">
        <v>1337</v>
      </c>
      <c r="C1522" t="s">
        <v>819</v>
      </c>
      <c r="D1522" t="s">
        <v>27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140</v>
      </c>
      <c r="L1522" s="39">
        <f t="shared" ref="L1522:L1529" si="118">IFERROR(IF(OR(J1522=0,K1522=""),"",IF(E1522="Positivo",MIN(MAX(K1522/J1522,0),1.3),MIN(MAX(J1522/K1522,0),1.3))),"")</f>
        <v>1.3</v>
      </c>
      <c r="M1522" s="39">
        <f t="shared" ref="M1522:M1529" si="119">IFERROR(IF(OR(J1522=0,K1522=""),"",IF(E1522="Positivo",MAX(K1522/J1522,0),MAX(J1522/K1522,0))),"")</f>
        <v>1.4</v>
      </c>
      <c r="P1522">
        <v>0</v>
      </c>
      <c r="Q1522">
        <v>0</v>
      </c>
      <c r="R1522" t="s">
        <v>1338</v>
      </c>
    </row>
    <row r="1523" spans="1:18" x14ac:dyDescent="0.3">
      <c r="A1523">
        <v>475</v>
      </c>
      <c r="B1523" t="s">
        <v>1337</v>
      </c>
      <c r="C1523" t="s">
        <v>819</v>
      </c>
      <c r="D1523" t="s">
        <v>21</v>
      </c>
      <c r="E1523" t="s">
        <v>22</v>
      </c>
      <c r="F1523" s="79">
        <v>46022</v>
      </c>
      <c r="G1523">
        <v>2025</v>
      </c>
      <c r="H1523" t="s">
        <v>23</v>
      </c>
      <c r="I1523" t="s">
        <v>32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N1523" t="s">
        <v>128</v>
      </c>
      <c r="O1523" t="s">
        <v>128</v>
      </c>
      <c r="P1523">
        <v>0</v>
      </c>
      <c r="Q1523">
        <v>0</v>
      </c>
      <c r="R1523" t="s">
        <v>1339</v>
      </c>
    </row>
    <row r="1524" spans="1:18" x14ac:dyDescent="0.3">
      <c r="A1524">
        <v>476</v>
      </c>
      <c r="B1524" t="s">
        <v>1340</v>
      </c>
      <c r="C1524" t="s">
        <v>549</v>
      </c>
      <c r="D1524" t="s">
        <v>27</v>
      </c>
      <c r="E1524" t="s">
        <v>22</v>
      </c>
      <c r="F1524" s="79">
        <v>45473</v>
      </c>
      <c r="G1524">
        <v>2024</v>
      </c>
      <c r="H1524" t="s">
        <v>699</v>
      </c>
      <c r="I1524" t="s">
        <v>729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3126</v>
      </c>
    </row>
    <row r="1525" spans="1:18" x14ac:dyDescent="0.3">
      <c r="A1525">
        <v>476</v>
      </c>
      <c r="B1525" t="s">
        <v>1340</v>
      </c>
      <c r="C1525" t="s">
        <v>549</v>
      </c>
      <c r="D1525" t="s">
        <v>27</v>
      </c>
      <c r="E1525" t="s">
        <v>22</v>
      </c>
      <c r="F1525" s="79">
        <v>45657</v>
      </c>
      <c r="G1525">
        <v>2024</v>
      </c>
      <c r="H1525" t="s">
        <v>23</v>
      </c>
      <c r="I1525" t="s">
        <v>30</v>
      </c>
      <c r="J1525">
        <v>100</v>
      </c>
      <c r="K1525">
        <v>100</v>
      </c>
      <c r="L1525" s="39">
        <f t="shared" si="118"/>
        <v>1</v>
      </c>
      <c r="M1525" s="39">
        <f t="shared" si="119"/>
        <v>1</v>
      </c>
      <c r="P1525">
        <v>0</v>
      </c>
      <c r="Q1525">
        <v>0</v>
      </c>
      <c r="R1525" t="s">
        <v>1341</v>
      </c>
    </row>
    <row r="1526" spans="1:18" x14ac:dyDescent="0.3">
      <c r="A1526">
        <v>476</v>
      </c>
      <c r="B1526" t="s">
        <v>1340</v>
      </c>
      <c r="C1526" t="s">
        <v>549</v>
      </c>
      <c r="D1526" t="s">
        <v>27</v>
      </c>
      <c r="E1526" t="s">
        <v>22</v>
      </c>
      <c r="F1526" s="79">
        <v>45838</v>
      </c>
      <c r="G1526">
        <v>2025</v>
      </c>
      <c r="H1526" t="s">
        <v>699</v>
      </c>
      <c r="I1526" t="s">
        <v>700</v>
      </c>
      <c r="J1526">
        <v>100</v>
      </c>
      <c r="K1526">
        <v>100</v>
      </c>
      <c r="L1526" s="39">
        <f t="shared" si="118"/>
        <v>1</v>
      </c>
      <c r="M1526" s="39">
        <f t="shared" si="119"/>
        <v>1</v>
      </c>
      <c r="N1526" t="s">
        <v>128</v>
      </c>
      <c r="O1526" t="s">
        <v>128</v>
      </c>
      <c r="P1526">
        <v>0</v>
      </c>
      <c r="Q1526">
        <v>0</v>
      </c>
      <c r="R1526" t="s">
        <v>3127</v>
      </c>
    </row>
    <row r="1527" spans="1:18" x14ac:dyDescent="0.3">
      <c r="A1527">
        <v>476</v>
      </c>
      <c r="B1527" t="s">
        <v>1340</v>
      </c>
      <c r="C1527" t="s">
        <v>549</v>
      </c>
      <c r="D1527" t="s">
        <v>21</v>
      </c>
      <c r="E1527" t="s">
        <v>22</v>
      </c>
      <c r="F1527" s="79">
        <v>46022</v>
      </c>
      <c r="G1527">
        <v>2025</v>
      </c>
      <c r="H1527" t="s">
        <v>23</v>
      </c>
      <c r="I1527" t="s">
        <v>32</v>
      </c>
      <c r="J1527">
        <v>100</v>
      </c>
      <c r="K1527">
        <v>100</v>
      </c>
      <c r="L1527" s="39">
        <f t="shared" si="118"/>
        <v>1</v>
      </c>
      <c r="M1527" s="39">
        <f t="shared" si="119"/>
        <v>1</v>
      </c>
      <c r="N1527" t="s">
        <v>128</v>
      </c>
      <c r="O1527" t="s">
        <v>128</v>
      </c>
      <c r="P1527">
        <v>0</v>
      </c>
      <c r="Q1527">
        <v>0</v>
      </c>
      <c r="R1527" t="s">
        <v>1342</v>
      </c>
    </row>
    <row r="1528" spans="1:18" x14ac:dyDescent="0.3">
      <c r="A1528">
        <v>477</v>
      </c>
      <c r="B1528" t="s">
        <v>1343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 t="shared" si="118"/>
        <v>1</v>
      </c>
      <c r="M1528" s="39">
        <f t="shared" si="119"/>
        <v>1</v>
      </c>
      <c r="P1528">
        <v>0</v>
      </c>
      <c r="Q1528">
        <v>0</v>
      </c>
      <c r="R1528" t="s">
        <v>3128</v>
      </c>
    </row>
    <row r="1529" spans="1:18" x14ac:dyDescent="0.3">
      <c r="A1529">
        <v>477</v>
      </c>
      <c r="B1529" t="s">
        <v>1343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 t="shared" si="118"/>
        <v>1</v>
      </c>
      <c r="M1529" s="39">
        <f t="shared" si="119"/>
        <v>1</v>
      </c>
      <c r="P1529">
        <v>0</v>
      </c>
      <c r="Q1529">
        <v>0</v>
      </c>
      <c r="R1529" t="s">
        <v>1344</v>
      </c>
    </row>
    <row r="1530" spans="1:18" x14ac:dyDescent="0.3">
      <c r="A1530">
        <v>478</v>
      </c>
      <c r="B1530" t="s">
        <v>1345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L1530" s="39"/>
      <c r="M1530" s="39"/>
      <c r="N1530" t="s">
        <v>128</v>
      </c>
      <c r="O1530" t="s">
        <v>1949</v>
      </c>
      <c r="P1530">
        <v>0</v>
      </c>
      <c r="Q1530">
        <v>0</v>
      </c>
      <c r="R1530" t="s">
        <v>3130</v>
      </c>
    </row>
    <row r="1531" spans="1:18" x14ac:dyDescent="0.3">
      <c r="A1531">
        <v>478</v>
      </c>
      <c r="B1531" t="s">
        <v>1345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1346</v>
      </c>
    </row>
    <row r="1532" spans="1:18" x14ac:dyDescent="0.3">
      <c r="A1532">
        <v>478</v>
      </c>
      <c r="B1532" t="s">
        <v>1345</v>
      </c>
      <c r="C1532" t="s">
        <v>1059</v>
      </c>
      <c r="D1532" t="s">
        <v>21</v>
      </c>
      <c r="E1532" t="s">
        <v>22</v>
      </c>
      <c r="F1532" s="79">
        <v>45838</v>
      </c>
      <c r="G1532">
        <v>2025</v>
      </c>
      <c r="H1532" t="s">
        <v>699</v>
      </c>
      <c r="I1532" t="s">
        <v>700</v>
      </c>
      <c r="K1532">
        <v>0</v>
      </c>
      <c r="L1532" s="39"/>
      <c r="M1532" s="39"/>
      <c r="N1532" t="s">
        <v>128</v>
      </c>
      <c r="O1532" t="s">
        <v>128</v>
      </c>
      <c r="P1532">
        <v>0</v>
      </c>
      <c r="Q1532">
        <v>0</v>
      </c>
      <c r="R1532" t="s">
        <v>3131</v>
      </c>
    </row>
    <row r="1533" spans="1:18" x14ac:dyDescent="0.3">
      <c r="A1533">
        <v>479</v>
      </c>
      <c r="B1533" t="s">
        <v>1348</v>
      </c>
      <c r="C1533" t="s">
        <v>1059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IFERROR(IF(OR(J1533=0,K1533=""),"",IF(E1533="Positivo",MIN(MAX(K1533/J1533,0),1.3),MIN(MAX(J1533/K1533,0),1.3))),"")</f>
        <v>1</v>
      </c>
      <c r="M1533" s="39">
        <f>IFERROR(IF(OR(J1533=0,K1533=""),"",IF(E1533="Positivo",MAX(K1533/J1533,0),MAX(J1533/K1533,0))),"")</f>
        <v>1</v>
      </c>
      <c r="P1533">
        <v>0</v>
      </c>
      <c r="Q1533">
        <v>0</v>
      </c>
      <c r="R1533" t="s">
        <v>3132</v>
      </c>
    </row>
    <row r="1534" spans="1:18" x14ac:dyDescent="0.3">
      <c r="A1534">
        <v>479</v>
      </c>
      <c r="B1534" t="s">
        <v>1348</v>
      </c>
      <c r="C1534" t="s">
        <v>1059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IFERROR(IF(OR(J1534=0,K1534=""),"",IF(E1534="Positivo",MIN(MAX(K1534/J1534,0),1.3),MIN(MAX(J1534/K1534,0),1.3))),"")</f>
        <v>1</v>
      </c>
      <c r="M1534" s="39">
        <f>IFERROR(IF(OR(J1534=0,K1534=""),"",IF(E1534="Positivo",MAX(K1534/J1534,0),MAX(J1534/K1534,0))),"")</f>
        <v>1</v>
      </c>
      <c r="P1534">
        <v>0</v>
      </c>
      <c r="Q1534">
        <v>0</v>
      </c>
      <c r="R1534" t="s">
        <v>1349</v>
      </c>
    </row>
    <row r="1535" spans="1:18" x14ac:dyDescent="0.3">
      <c r="A1535">
        <v>480</v>
      </c>
      <c r="B1535" t="s">
        <v>1350</v>
      </c>
      <c r="C1535" t="s">
        <v>1059</v>
      </c>
      <c r="D1535" t="s">
        <v>27</v>
      </c>
      <c r="E1535" t="s">
        <v>22</v>
      </c>
      <c r="F1535" s="79">
        <v>45473</v>
      </c>
      <c r="G1535">
        <v>2024</v>
      </c>
      <c r="H1535" t="s">
        <v>699</v>
      </c>
      <c r="I1535" t="s">
        <v>729</v>
      </c>
      <c r="J1535">
        <v>100</v>
      </c>
      <c r="K1535">
        <v>100</v>
      </c>
      <c r="L1535" s="39">
        <f>IFERROR(IF(OR(J1535=0,K1535=""),"",IF(E1535="Positivo",MIN(MAX(K1535/J1535,0),1.3),MIN(MAX(J1535/K1535,0),1.3))),"")</f>
        <v>1</v>
      </c>
      <c r="M1535" s="39">
        <f>IFERROR(IF(OR(J1535=0,K1535=""),"",IF(E1535="Positivo",MAX(K1535/J1535,0),MAX(J1535/K1535,0))),"")</f>
        <v>1</v>
      </c>
      <c r="P1535">
        <v>0</v>
      </c>
      <c r="Q1535">
        <v>0</v>
      </c>
      <c r="R1535" t="s">
        <v>3134</v>
      </c>
    </row>
    <row r="1536" spans="1:18" x14ac:dyDescent="0.3">
      <c r="A1536">
        <v>480</v>
      </c>
      <c r="B1536" t="s">
        <v>1350</v>
      </c>
      <c r="C1536" t="s">
        <v>1059</v>
      </c>
      <c r="D1536" t="s">
        <v>27</v>
      </c>
      <c r="E1536" t="s">
        <v>22</v>
      </c>
      <c r="F1536" s="79">
        <v>45657</v>
      </c>
      <c r="G1536">
        <v>2024</v>
      </c>
      <c r="H1536" t="s">
        <v>23</v>
      </c>
      <c r="I1536" t="s">
        <v>30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>IFERROR(IF(OR(J1536=0,K1536=""),"",IF(E1536="Positivo",MAX(K1536/J1536,0),MAX(J1536/K1536,0))),"")</f>
        <v>1</v>
      </c>
      <c r="P1536">
        <v>0</v>
      </c>
      <c r="Q1536">
        <v>0</v>
      </c>
      <c r="R1536" t="s">
        <v>1351</v>
      </c>
    </row>
    <row r="1537" spans="1:18" x14ac:dyDescent="0.3">
      <c r="A1537">
        <v>481</v>
      </c>
      <c r="B1537" t="s">
        <v>1352</v>
      </c>
      <c r="C1537" t="s">
        <v>549</v>
      </c>
      <c r="D1537" t="s">
        <v>27</v>
      </c>
      <c r="E1537" t="s">
        <v>22</v>
      </c>
      <c r="F1537" s="79">
        <v>45473</v>
      </c>
      <c r="G1537">
        <v>2024</v>
      </c>
      <c r="H1537" t="s">
        <v>699</v>
      </c>
      <c r="I1537" t="s">
        <v>729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>IFERROR(IF(OR(J1537=0,K1537=""),"",IF(E1537="Positivo",MAX(K1537/J1537,0),MAX(J1537/K1537,0))),"")</f>
        <v>1</v>
      </c>
      <c r="P1537">
        <v>0</v>
      </c>
      <c r="Q1537">
        <v>0</v>
      </c>
      <c r="R1537" t="s">
        <v>3136</v>
      </c>
    </row>
    <row r="1538" spans="1:18" x14ac:dyDescent="0.3">
      <c r="A1538">
        <v>481</v>
      </c>
      <c r="B1538" t="s">
        <v>1352</v>
      </c>
      <c r="C1538" t="s">
        <v>549</v>
      </c>
      <c r="D1538" t="s">
        <v>27</v>
      </c>
      <c r="E1538" t="s">
        <v>22</v>
      </c>
      <c r="F1538" s="79">
        <v>45657</v>
      </c>
      <c r="G1538">
        <v>2024</v>
      </c>
      <c r="H1538" t="s">
        <v>23</v>
      </c>
      <c r="I1538" t="s">
        <v>30</v>
      </c>
      <c r="J1538">
        <v>100</v>
      </c>
      <c r="L1538" s="39"/>
      <c r="M1538" s="39"/>
      <c r="N1538" t="s">
        <v>128</v>
      </c>
      <c r="O1538" t="s">
        <v>1949</v>
      </c>
      <c r="P1538">
        <v>0</v>
      </c>
      <c r="Q1538">
        <v>0</v>
      </c>
      <c r="R1538" t="s">
        <v>1353</v>
      </c>
    </row>
    <row r="1539" spans="1:18" x14ac:dyDescent="0.3">
      <c r="A1539">
        <v>481</v>
      </c>
      <c r="B1539" t="s">
        <v>1352</v>
      </c>
      <c r="C1539" t="s">
        <v>549</v>
      </c>
      <c r="D1539" t="s">
        <v>21</v>
      </c>
      <c r="E1539" t="s">
        <v>22</v>
      </c>
      <c r="F1539" s="79">
        <v>45838</v>
      </c>
      <c r="G1539">
        <v>2025</v>
      </c>
      <c r="H1539" t="s">
        <v>699</v>
      </c>
      <c r="I1539" t="s">
        <v>700</v>
      </c>
      <c r="J1539">
        <v>100</v>
      </c>
      <c r="K1539">
        <v>100</v>
      </c>
      <c r="L1539" s="39">
        <f t="shared" ref="L1539:L1544" si="120">IFERROR(IF(OR(J1539=0,K1539=""),"",IF(E1539="Positivo",MIN(MAX(K1539/J1539,0),1.3),MIN(MAX(J1539/K1539,0),1.3))),"")</f>
        <v>1</v>
      </c>
      <c r="M1539" s="39">
        <f t="shared" ref="M1539:M1544" si="121">IFERROR(IF(OR(J1539=0,K1539=""),"",IF(E1539="Positivo",MAX(K1539/J1539,0),MAX(J1539/K1539,0))),"")</f>
        <v>1</v>
      </c>
      <c r="N1539" t="s">
        <v>25</v>
      </c>
      <c r="O1539" t="s">
        <v>25</v>
      </c>
      <c r="P1539">
        <v>0</v>
      </c>
      <c r="Q1539">
        <v>0</v>
      </c>
      <c r="R1539" t="s">
        <v>3137</v>
      </c>
    </row>
    <row r="1540" spans="1:18" x14ac:dyDescent="0.3">
      <c r="A1540">
        <v>483</v>
      </c>
      <c r="B1540" t="s">
        <v>1355</v>
      </c>
      <c r="C1540" t="s">
        <v>1066</v>
      </c>
      <c r="D1540" t="s">
        <v>71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</v>
      </c>
      <c r="K1540">
        <v>91.65</v>
      </c>
      <c r="L1540" s="39">
        <f t="shared" si="120"/>
        <v>1.3</v>
      </c>
      <c r="M1540" s="39">
        <f t="shared" si="121"/>
        <v>9.1650000000000009</v>
      </c>
      <c r="P1540">
        <v>0</v>
      </c>
      <c r="Q1540">
        <v>0</v>
      </c>
      <c r="R1540" t="s">
        <v>1356</v>
      </c>
    </row>
    <row r="1541" spans="1:18" x14ac:dyDescent="0.3">
      <c r="A1541">
        <v>484</v>
      </c>
      <c r="B1541" t="s">
        <v>1357</v>
      </c>
      <c r="C1541" t="s">
        <v>70</v>
      </c>
      <c r="D1541" t="s">
        <v>21</v>
      </c>
      <c r="E1541" t="s">
        <v>22</v>
      </c>
      <c r="F1541" s="79">
        <v>45473</v>
      </c>
      <c r="G1541">
        <v>2024</v>
      </c>
      <c r="H1541" t="s">
        <v>699</v>
      </c>
      <c r="I1541" t="s">
        <v>729</v>
      </c>
      <c r="J1541">
        <v>90</v>
      </c>
      <c r="K1541">
        <v>100</v>
      </c>
      <c r="L1541" s="39">
        <f t="shared" si="120"/>
        <v>1.1111111111111112</v>
      </c>
      <c r="M1541" s="39">
        <f t="shared" si="121"/>
        <v>1.1111111111111112</v>
      </c>
      <c r="P1541">
        <v>0</v>
      </c>
      <c r="Q1541">
        <v>0</v>
      </c>
      <c r="R1541" t="s">
        <v>3138</v>
      </c>
    </row>
    <row r="1542" spans="1:18" x14ac:dyDescent="0.3">
      <c r="A1542">
        <v>484</v>
      </c>
      <c r="B1542" t="s">
        <v>1357</v>
      </c>
      <c r="C1542" t="s">
        <v>70</v>
      </c>
      <c r="D1542" t="s">
        <v>21</v>
      </c>
      <c r="E1542" t="s">
        <v>22</v>
      </c>
      <c r="F1542" s="79">
        <v>45657</v>
      </c>
      <c r="G1542">
        <v>2024</v>
      </c>
      <c r="H1542" t="s">
        <v>23</v>
      </c>
      <c r="I1542" t="s">
        <v>30</v>
      </c>
      <c r="J1542">
        <v>90</v>
      </c>
      <c r="K1542">
        <v>100</v>
      </c>
      <c r="L1542" s="39">
        <f t="shared" si="120"/>
        <v>1.1111111111111112</v>
      </c>
      <c r="M1542" s="39">
        <f t="shared" si="121"/>
        <v>1.1111111111111112</v>
      </c>
      <c r="P1542">
        <v>0</v>
      </c>
      <c r="Q1542">
        <v>0</v>
      </c>
      <c r="R1542" t="s">
        <v>1358</v>
      </c>
    </row>
    <row r="1543" spans="1:18" x14ac:dyDescent="0.3">
      <c r="A1543">
        <v>484</v>
      </c>
      <c r="B1543" t="s">
        <v>1357</v>
      </c>
      <c r="C1543" t="s">
        <v>70</v>
      </c>
      <c r="D1543" t="s">
        <v>21</v>
      </c>
      <c r="E1543" t="s">
        <v>22</v>
      </c>
      <c r="F1543" s="79">
        <v>45838</v>
      </c>
      <c r="G1543">
        <v>2025</v>
      </c>
      <c r="H1543" t="s">
        <v>699</v>
      </c>
      <c r="I1543" t="s">
        <v>700</v>
      </c>
      <c r="J1543">
        <v>90</v>
      </c>
      <c r="K1543">
        <v>100</v>
      </c>
      <c r="L1543" s="39">
        <f t="shared" si="120"/>
        <v>1.1111111111111112</v>
      </c>
      <c r="M1543" s="39">
        <f t="shared" si="121"/>
        <v>1.1111111111111112</v>
      </c>
      <c r="N1543" t="s">
        <v>25</v>
      </c>
      <c r="O1543" t="s">
        <v>25</v>
      </c>
      <c r="P1543">
        <v>0</v>
      </c>
      <c r="Q1543">
        <v>0</v>
      </c>
      <c r="R1543" t="s">
        <v>3141</v>
      </c>
    </row>
    <row r="1544" spans="1:18" x14ac:dyDescent="0.3">
      <c r="A1544">
        <v>484</v>
      </c>
      <c r="B1544" t="s">
        <v>1357</v>
      </c>
      <c r="C1544" t="s">
        <v>70</v>
      </c>
      <c r="D1544" t="s">
        <v>27</v>
      </c>
      <c r="E1544" t="s">
        <v>22</v>
      </c>
      <c r="F1544" s="79">
        <v>46022</v>
      </c>
      <c r="G1544">
        <v>2025</v>
      </c>
      <c r="H1544" t="s">
        <v>23</v>
      </c>
      <c r="I1544" t="s">
        <v>32</v>
      </c>
      <c r="J1544">
        <v>90</v>
      </c>
      <c r="K1544">
        <v>100</v>
      </c>
      <c r="L1544" s="39">
        <f t="shared" si="120"/>
        <v>1.1111111111111112</v>
      </c>
      <c r="M1544" s="39">
        <f t="shared" si="121"/>
        <v>1.1111111111111112</v>
      </c>
      <c r="N1544" t="s">
        <v>25</v>
      </c>
      <c r="O1544" t="s">
        <v>25</v>
      </c>
      <c r="P1544">
        <v>0</v>
      </c>
      <c r="Q1544">
        <v>0</v>
      </c>
      <c r="R1544" t="s">
        <v>1359</v>
      </c>
    </row>
    <row r="1545" spans="1:18" x14ac:dyDescent="0.3">
      <c r="A1545">
        <v>485</v>
      </c>
      <c r="B1545" t="s">
        <v>1360</v>
      </c>
      <c r="C1545" t="s">
        <v>198</v>
      </c>
      <c r="D1545" t="s">
        <v>54</v>
      </c>
      <c r="E1545" t="s">
        <v>22</v>
      </c>
      <c r="F1545" s="79">
        <v>45473</v>
      </c>
      <c r="G1545">
        <v>2024</v>
      </c>
      <c r="H1545" t="s">
        <v>699</v>
      </c>
      <c r="I1545" t="s">
        <v>729</v>
      </c>
      <c r="L1545" s="39"/>
      <c r="M1545" s="39"/>
      <c r="P1545">
        <v>0</v>
      </c>
      <c r="Q1545">
        <v>0</v>
      </c>
      <c r="R1545" t="s">
        <v>3148</v>
      </c>
    </row>
    <row r="1546" spans="1:18" x14ac:dyDescent="0.3">
      <c r="A1546">
        <v>485</v>
      </c>
      <c r="B1546" t="s">
        <v>1360</v>
      </c>
      <c r="C1546" t="s">
        <v>198</v>
      </c>
      <c r="D1546" t="s">
        <v>54</v>
      </c>
      <c r="E1546" t="s">
        <v>22</v>
      </c>
      <c r="F1546" s="79">
        <v>45657</v>
      </c>
      <c r="G1546">
        <v>2024</v>
      </c>
      <c r="H1546" t="s">
        <v>23</v>
      </c>
      <c r="I1546" t="s">
        <v>30</v>
      </c>
      <c r="J1546">
        <v>80</v>
      </c>
      <c r="K1546">
        <v>91.666666666666657</v>
      </c>
      <c r="L1546" s="39">
        <f>IFERROR(IF(OR(J1546=0,K1546=""),"",IF(E1546="Positivo",MIN(MAX(K1546/J1546,0),1.3),MIN(MAX(J1546/K1546,0),1.3))),"")</f>
        <v>1.1458333333333333</v>
      </c>
      <c r="M1546" s="39">
        <f>IFERROR(IF(OR(J1546=0,K1546=""),"",IF(E1546="Positivo",MAX(K1546/J1546,0),MAX(J1546/K1546,0))),"")</f>
        <v>1.1458333333333333</v>
      </c>
      <c r="P1546">
        <v>0</v>
      </c>
      <c r="Q1546">
        <v>0</v>
      </c>
      <c r="R1546" t="s">
        <v>1361</v>
      </c>
    </row>
    <row r="1547" spans="1:18" x14ac:dyDescent="0.3">
      <c r="A1547">
        <v>485</v>
      </c>
      <c r="B1547" t="s">
        <v>1360</v>
      </c>
      <c r="C1547" t="s">
        <v>198</v>
      </c>
      <c r="D1547" t="s">
        <v>54</v>
      </c>
      <c r="E1547" t="s">
        <v>22</v>
      </c>
      <c r="F1547" s="79">
        <v>45838</v>
      </c>
      <c r="G1547">
        <v>2025</v>
      </c>
      <c r="H1547" t="s">
        <v>699</v>
      </c>
      <c r="I1547" t="s">
        <v>700</v>
      </c>
      <c r="J1547">
        <v>80</v>
      </c>
      <c r="K1547">
        <v>86.111666666666665</v>
      </c>
      <c r="L1547" s="39">
        <f>IFERROR(IF(OR(J1547=0,K1547=""),"",IF(E1547="Positivo",MIN(MAX(K1547/J1547,0),1.3),MIN(MAX(J1547/K1547,0),1.3))),"")</f>
        <v>1.0763958333333332</v>
      </c>
      <c r="M1547" s="39">
        <f>IFERROR(IF(OR(J1547=0,K1547=""),"",IF(E1547="Positivo",MAX(K1547/J1547,0),MAX(J1547/K1547,0))),"")</f>
        <v>1.0763958333333332</v>
      </c>
      <c r="N1547" t="s">
        <v>25</v>
      </c>
      <c r="O1547" t="s">
        <v>25</v>
      </c>
      <c r="P1547">
        <v>0</v>
      </c>
      <c r="Q1547">
        <v>0</v>
      </c>
      <c r="R1547" t="s">
        <v>3158</v>
      </c>
    </row>
    <row r="1548" spans="1:18" x14ac:dyDescent="0.3">
      <c r="A1548">
        <v>485</v>
      </c>
      <c r="B1548" t="s">
        <v>1360</v>
      </c>
      <c r="C1548" t="s">
        <v>198</v>
      </c>
      <c r="D1548" t="s">
        <v>54</v>
      </c>
      <c r="E1548" t="s">
        <v>22</v>
      </c>
      <c r="F1548" s="79">
        <v>46022</v>
      </c>
      <c r="G1548">
        <v>2025</v>
      </c>
      <c r="H1548" t="s">
        <v>23</v>
      </c>
      <c r="I1548" t="s">
        <v>32</v>
      </c>
      <c r="J1548">
        <v>80</v>
      </c>
      <c r="K1548">
        <v>72.975999999999999</v>
      </c>
      <c r="L1548" s="39">
        <f>IFERROR(IF(OR(J1548=0,K1548=""),"",IF(E1548="Positivo",MIN(MAX(K1548/J1548,0),1.3),MIN(MAX(J1548/K1548,0),1.3))),"")</f>
        <v>0.91220000000000001</v>
      </c>
      <c r="M1548" s="39">
        <f>IFERROR(IF(OR(J1548=0,K1548=""),"",IF(E1548="Positivo",MAX(K1548/J1548,0),MAX(J1548/K1548,0))),"")</f>
        <v>0.91220000000000001</v>
      </c>
      <c r="N1548" t="s">
        <v>25</v>
      </c>
      <c r="O1548" t="s">
        <v>25</v>
      </c>
      <c r="P1548">
        <v>0</v>
      </c>
      <c r="Q1548">
        <v>0</v>
      </c>
      <c r="R1548" t="s">
        <v>1362</v>
      </c>
    </row>
    <row r="1549" spans="1:18" x14ac:dyDescent="0.3">
      <c r="A1549">
        <v>486</v>
      </c>
      <c r="B1549" t="s">
        <v>1363</v>
      </c>
      <c r="C1549" t="s">
        <v>149</v>
      </c>
      <c r="D1549" t="s">
        <v>27</v>
      </c>
      <c r="E1549" t="s">
        <v>22</v>
      </c>
      <c r="F1549" s="79">
        <v>45473</v>
      </c>
      <c r="G1549">
        <v>2024</v>
      </c>
      <c r="H1549" t="s">
        <v>699</v>
      </c>
      <c r="I1549" t="s">
        <v>729</v>
      </c>
      <c r="J1549">
        <v>0</v>
      </c>
      <c r="K1549">
        <v>4900000</v>
      </c>
      <c r="L1549" s="39" t="str">
        <f>IFERROR(IF(OR(J1549=0,K1549=""),"",IF(E1549="Positivo",MIN(MAX(K1549/J1549,0),1.3),MIN(MAX(J1549/K1549,0),1.3))),"")</f>
        <v/>
      </c>
      <c r="M1549" s="39" t="str">
        <f>IFERROR(IF(OR(J1549=0,K1549=""),"",IF(E1549="Positivo",MAX(K1549/J1549,0),MAX(J1549/K1549,0))),"")</f>
        <v/>
      </c>
      <c r="P1549">
        <v>0</v>
      </c>
      <c r="Q1549">
        <v>0</v>
      </c>
      <c r="R1549" t="s">
        <v>3164</v>
      </c>
    </row>
    <row r="1550" spans="1:18" x14ac:dyDescent="0.3">
      <c r="A1550">
        <v>486</v>
      </c>
      <c r="B1550" t="s">
        <v>1363</v>
      </c>
      <c r="C1550" t="s">
        <v>149</v>
      </c>
      <c r="D1550" t="s">
        <v>27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0</v>
      </c>
      <c r="K1550">
        <v>2700000</v>
      </c>
      <c r="L1550" s="39" t="str">
        <f>IFERROR(IF(OR(J1550=0,K1550=""),"",IF(E1550="Positivo",MIN(MAX(K1550/J1550,0),1.3),MIN(MAX(J1550/K1550,0),1.3))),"")</f>
        <v/>
      </c>
      <c r="M1550" s="39" t="str">
        <f>IFERROR(IF(OR(J1550=0,K1550=""),"",IF(E1550="Positivo",MAX(K1550/J1550,0),MAX(J1550/K1550,0))),"")</f>
        <v/>
      </c>
      <c r="P1550">
        <v>0</v>
      </c>
      <c r="Q1550">
        <v>0</v>
      </c>
      <c r="R1550" t="s">
        <v>1364</v>
      </c>
    </row>
    <row r="1551" spans="1:18" x14ac:dyDescent="0.3">
      <c r="A1551">
        <v>486</v>
      </c>
      <c r="B1551" t="s">
        <v>1363</v>
      </c>
      <c r="C1551" t="s">
        <v>149</v>
      </c>
      <c r="D1551" t="s">
        <v>21</v>
      </c>
      <c r="E1551" t="s">
        <v>22</v>
      </c>
      <c r="F1551" s="79">
        <v>45838</v>
      </c>
      <c r="G1551">
        <v>2025</v>
      </c>
      <c r="H1551" t="s">
        <v>699</v>
      </c>
      <c r="I1551" t="s">
        <v>700</v>
      </c>
      <c r="K1551">
        <v>2890610</v>
      </c>
      <c r="L1551" s="39"/>
      <c r="M1551" s="39"/>
      <c r="N1551" t="s">
        <v>25</v>
      </c>
      <c r="O1551" t="s">
        <v>25</v>
      </c>
      <c r="P1551">
        <v>0</v>
      </c>
      <c r="Q1551">
        <v>0</v>
      </c>
      <c r="R1551" t="s">
        <v>3165</v>
      </c>
    </row>
    <row r="1552" spans="1:18" x14ac:dyDescent="0.3">
      <c r="A1552">
        <v>486</v>
      </c>
      <c r="B1552" t="s">
        <v>1363</v>
      </c>
      <c r="C1552" t="s">
        <v>149</v>
      </c>
      <c r="D1552" t="s">
        <v>21</v>
      </c>
      <c r="E1552" t="s">
        <v>22</v>
      </c>
      <c r="F1552" s="79">
        <v>46022</v>
      </c>
      <c r="G1552">
        <v>2025</v>
      </c>
      <c r="H1552" t="s">
        <v>23</v>
      </c>
      <c r="I1552" t="s">
        <v>32</v>
      </c>
      <c r="K1552">
        <v>2703941</v>
      </c>
      <c r="L1552" s="39"/>
      <c r="M1552" s="39"/>
      <c r="N1552" t="s">
        <v>25</v>
      </c>
      <c r="O1552" t="s">
        <v>25</v>
      </c>
      <c r="P1552">
        <v>0</v>
      </c>
      <c r="Q1552">
        <v>0</v>
      </c>
      <c r="R1552" t="s">
        <v>1365</v>
      </c>
    </row>
    <row r="1553" spans="1:18" x14ac:dyDescent="0.3">
      <c r="A1553">
        <v>487</v>
      </c>
      <c r="B1553" t="s">
        <v>1366</v>
      </c>
      <c r="C1553" t="s">
        <v>619</v>
      </c>
      <c r="D1553" t="s">
        <v>71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20</v>
      </c>
      <c r="K1553">
        <v>6.06</v>
      </c>
      <c r="L1553" s="39">
        <f>IFERROR(IF(OR(J1553=0,K1553=""),"",IF(E1553="Positivo",MIN(MAX(K1553/J1553,0),1.3),MIN(MAX(J1553/K1553,0),1.3))),"")</f>
        <v>0.30299999999999999</v>
      </c>
      <c r="M1553" s="39">
        <f>IFERROR(IF(OR(J1553=0,K1553=""),"",IF(E1553="Positivo",MAX(K1553/J1553,0),MAX(J1553/K1553,0))),"")</f>
        <v>0.30299999999999999</v>
      </c>
      <c r="P1553">
        <v>0</v>
      </c>
      <c r="Q1553">
        <v>0</v>
      </c>
      <c r="R1553" t="s">
        <v>1367</v>
      </c>
    </row>
    <row r="1554" spans="1:18" x14ac:dyDescent="0.3">
      <c r="A1554">
        <v>487</v>
      </c>
      <c r="B1554" t="s">
        <v>3166</v>
      </c>
      <c r="C1554" t="s">
        <v>619</v>
      </c>
      <c r="D1554" t="s">
        <v>71</v>
      </c>
      <c r="E1554" t="s">
        <v>22</v>
      </c>
      <c r="F1554" s="79">
        <v>46022</v>
      </c>
      <c r="G1554">
        <v>2025</v>
      </c>
      <c r="H1554" t="s">
        <v>23</v>
      </c>
      <c r="I1554" t="s">
        <v>32</v>
      </c>
      <c r="J1554">
        <v>20</v>
      </c>
      <c r="K1554">
        <v>58.86</v>
      </c>
      <c r="L1554" s="39">
        <f>IFERROR(IF(OR(J1554=0,K1554=""),"",IF(E1554="Positivo",MIN(MAX(K1554/J1554,0),1.3),MIN(MAX(J1554/K1554,0),1.3))),"")</f>
        <v>1.3</v>
      </c>
      <c r="M1554" s="39">
        <f>IFERROR(IF(OR(J1554=0,K1554=""),"",IF(E1554="Positivo",MAX(K1554/J1554,0),MAX(J1554/K1554,0))),"")</f>
        <v>2.9430000000000001</v>
      </c>
      <c r="N1554" t="s">
        <v>25</v>
      </c>
      <c r="O1554" t="s">
        <v>25</v>
      </c>
      <c r="P1554">
        <v>0</v>
      </c>
      <c r="Q1554">
        <v>0</v>
      </c>
      <c r="R1554" t="s">
        <v>1368</v>
      </c>
    </row>
    <row r="1555" spans="1:18" x14ac:dyDescent="0.3">
      <c r="A1555">
        <v>488</v>
      </c>
      <c r="B1555" t="s">
        <v>1369</v>
      </c>
      <c r="C1555" t="s">
        <v>198</v>
      </c>
      <c r="D1555" t="s">
        <v>54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L1555" s="39"/>
      <c r="M1555" s="39"/>
      <c r="P1555">
        <v>0</v>
      </c>
      <c r="Q1555">
        <v>0</v>
      </c>
      <c r="R1555" t="s">
        <v>3172</v>
      </c>
    </row>
    <row r="1556" spans="1:18" x14ac:dyDescent="0.3">
      <c r="A1556">
        <v>488</v>
      </c>
      <c r="B1556" t="s">
        <v>1369</v>
      </c>
      <c r="C1556" t="s">
        <v>198</v>
      </c>
      <c r="D1556" t="s">
        <v>54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85</v>
      </c>
      <c r="K1556">
        <v>92.961288460795018</v>
      </c>
      <c r="L1556" s="39">
        <f>IFERROR(IF(OR(J1556=0,K1556=""),"",IF(E1556="Positivo",MIN(MAX(K1556/J1556,0),1.3),MIN(MAX(J1556/K1556,0),1.3))),"")</f>
        <v>1.0936622171858237</v>
      </c>
      <c r="M1556" s="39">
        <f>IFERROR(IF(OR(J1556=0,K1556=""),"",IF(E1556="Positivo",MAX(K1556/J1556,0),MAX(J1556/K1556,0))),"")</f>
        <v>1.0936622171858237</v>
      </c>
      <c r="P1556">
        <v>0</v>
      </c>
      <c r="Q1556">
        <v>0</v>
      </c>
      <c r="R1556" t="s">
        <v>1370</v>
      </c>
    </row>
    <row r="1557" spans="1:18" x14ac:dyDescent="0.3">
      <c r="A1557">
        <v>488</v>
      </c>
      <c r="B1557" t="s">
        <v>1369</v>
      </c>
      <c r="C1557" t="s">
        <v>198</v>
      </c>
      <c r="D1557" t="s">
        <v>54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85</v>
      </c>
      <c r="K1557">
        <v>72.086932568149209</v>
      </c>
      <c r="L1557" s="39">
        <f>IFERROR(IF(OR(J1557=0,K1557=""),"",IF(E1557="Positivo",MIN(MAX(K1557/J1557,0),1.3),MIN(MAX(J1557/K1557,0),1.3))),"")</f>
        <v>0.84808155962528475</v>
      </c>
      <c r="M1557" s="39">
        <f>IFERROR(IF(OR(J1557=0,K1557=""),"",IF(E1557="Positivo",MAX(K1557/J1557,0),MAX(J1557/K1557,0))),"")</f>
        <v>0.84808155962528475</v>
      </c>
      <c r="N1557" t="s">
        <v>25</v>
      </c>
      <c r="O1557" t="s">
        <v>25</v>
      </c>
      <c r="P1557">
        <v>0</v>
      </c>
      <c r="Q1557">
        <v>0</v>
      </c>
      <c r="R1557" t="s">
        <v>3183</v>
      </c>
    </row>
    <row r="1558" spans="1:18" x14ac:dyDescent="0.3">
      <c r="A1558">
        <v>488</v>
      </c>
      <c r="B1558" t="s">
        <v>1369</v>
      </c>
      <c r="C1558" t="s">
        <v>198</v>
      </c>
      <c r="D1558" t="s">
        <v>54</v>
      </c>
      <c r="E1558" t="s">
        <v>22</v>
      </c>
      <c r="F1558" s="79">
        <v>46022</v>
      </c>
      <c r="G1558">
        <v>2025</v>
      </c>
      <c r="H1558" t="s">
        <v>23</v>
      </c>
      <c r="I1558" t="s">
        <v>32</v>
      </c>
      <c r="J1558">
        <v>85</v>
      </c>
      <c r="K1558">
        <v>81.461666666666659</v>
      </c>
      <c r="L1558" s="39">
        <f>IFERROR(IF(OR(J1558=0,K1558=""),"",IF(E1558="Positivo",MIN(MAX(K1558/J1558,0),1.3),MIN(MAX(J1558/K1558,0),1.3))),"")</f>
        <v>0.95837254901960778</v>
      </c>
      <c r="M1558" s="39">
        <f>IFERROR(IF(OR(J1558=0,K1558=""),"",IF(E1558="Positivo",MAX(K1558/J1558,0),MAX(J1558/K1558,0))),"")</f>
        <v>0.95837254901960778</v>
      </c>
      <c r="N1558" t="s">
        <v>25</v>
      </c>
      <c r="O1558" t="s">
        <v>25</v>
      </c>
      <c r="P1558">
        <v>0</v>
      </c>
      <c r="Q1558">
        <v>0</v>
      </c>
      <c r="R1558" t="s">
        <v>1371</v>
      </c>
    </row>
    <row r="1559" spans="1:18" x14ac:dyDescent="0.3">
      <c r="A1559">
        <v>489</v>
      </c>
      <c r="B1559" t="s">
        <v>1373</v>
      </c>
      <c r="C1559" t="s">
        <v>198</v>
      </c>
      <c r="D1559" t="s">
        <v>54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L1559" s="39"/>
      <c r="M1559" s="39"/>
      <c r="P1559">
        <v>0</v>
      </c>
      <c r="Q1559">
        <v>0</v>
      </c>
      <c r="R1559" t="s">
        <v>3267</v>
      </c>
    </row>
    <row r="1560" spans="1:18" x14ac:dyDescent="0.3">
      <c r="A1560">
        <v>489</v>
      </c>
      <c r="B1560" t="s">
        <v>1373</v>
      </c>
      <c r="C1560" t="s">
        <v>198</v>
      </c>
      <c r="D1560" t="s">
        <v>54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100</v>
      </c>
      <c r="L1560" s="39">
        <f t="shared" ref="L1560:L1601" si="122">IFERROR(IF(OR(J1560=0,K1560=""),"",IF(E1560="Positivo",MIN(MAX(K1560/J1560,0),1.3),MIN(MAX(J1560/K1560,0),1.3))),"")</f>
        <v>1.25</v>
      </c>
      <c r="M1560" s="39">
        <f t="shared" ref="M1560:M1601" si="123">IFERROR(IF(OR(J1560=0,K1560=""),"",IF(E1560="Positivo",MAX(K1560/J1560,0),MAX(J1560/K1560,0))),"")</f>
        <v>1.25</v>
      </c>
      <c r="P1560">
        <v>0</v>
      </c>
      <c r="Q1560">
        <v>0</v>
      </c>
      <c r="R1560" t="s">
        <v>1374</v>
      </c>
    </row>
    <row r="1561" spans="1:18" x14ac:dyDescent="0.3">
      <c r="A1561">
        <v>490</v>
      </c>
      <c r="B1561" t="s">
        <v>1375</v>
      </c>
      <c r="C1561" t="s">
        <v>567</v>
      </c>
      <c r="D1561" t="s">
        <v>71</v>
      </c>
      <c r="E1561" t="s">
        <v>22</v>
      </c>
      <c r="F1561" s="79">
        <v>45657</v>
      </c>
      <c r="G1561">
        <v>2024</v>
      </c>
      <c r="H1561" t="s">
        <v>23</v>
      </c>
      <c r="I1561" t="s">
        <v>30</v>
      </c>
      <c r="J1561">
        <v>80</v>
      </c>
      <c r="K1561">
        <v>88</v>
      </c>
      <c r="L1561" s="39">
        <f t="shared" si="122"/>
        <v>1.1000000000000001</v>
      </c>
      <c r="M1561" s="39">
        <f t="shared" si="123"/>
        <v>1.1000000000000001</v>
      </c>
      <c r="P1561">
        <v>0</v>
      </c>
      <c r="Q1561">
        <v>0</v>
      </c>
      <c r="R1561" t="s">
        <v>1376</v>
      </c>
    </row>
    <row r="1562" spans="1:18" x14ac:dyDescent="0.3">
      <c r="A1562">
        <v>490</v>
      </c>
      <c r="B1562" t="s">
        <v>1375</v>
      </c>
      <c r="C1562" t="s">
        <v>567</v>
      </c>
      <c r="D1562" t="s">
        <v>71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80</v>
      </c>
      <c r="K1562">
        <v>100</v>
      </c>
      <c r="L1562" s="39">
        <f t="shared" si="122"/>
        <v>1.25</v>
      </c>
      <c r="M1562" s="39">
        <f t="shared" si="123"/>
        <v>1.25</v>
      </c>
      <c r="N1562" t="s">
        <v>25</v>
      </c>
      <c r="O1562" t="s">
        <v>25</v>
      </c>
      <c r="P1562">
        <v>0</v>
      </c>
      <c r="Q1562">
        <v>0</v>
      </c>
      <c r="R1562" t="s">
        <v>1377</v>
      </c>
    </row>
    <row r="1563" spans="1:18" x14ac:dyDescent="0.3">
      <c r="A1563">
        <v>491</v>
      </c>
      <c r="B1563" t="s">
        <v>1378</v>
      </c>
      <c r="C1563" t="s">
        <v>511</v>
      </c>
      <c r="D1563" t="s">
        <v>71</v>
      </c>
      <c r="E1563" t="s">
        <v>22</v>
      </c>
      <c r="F1563" s="79">
        <v>45657</v>
      </c>
      <c r="G1563">
        <v>2024</v>
      </c>
      <c r="H1563" t="s">
        <v>23</v>
      </c>
      <c r="I1563" t="s">
        <v>30</v>
      </c>
      <c r="J1563">
        <v>80</v>
      </c>
      <c r="K1563">
        <v>88</v>
      </c>
      <c r="L1563" s="39">
        <f t="shared" si="122"/>
        <v>1.1000000000000001</v>
      </c>
      <c r="M1563" s="39">
        <f t="shared" si="123"/>
        <v>1.1000000000000001</v>
      </c>
      <c r="P1563">
        <v>0</v>
      </c>
      <c r="Q1563">
        <v>0</v>
      </c>
      <c r="R1563" t="s">
        <v>1379</v>
      </c>
    </row>
    <row r="1564" spans="1:18" x14ac:dyDescent="0.3">
      <c r="A1564">
        <v>491</v>
      </c>
      <c r="B1564" t="s">
        <v>1378</v>
      </c>
      <c r="C1564" t="s">
        <v>511</v>
      </c>
      <c r="D1564" t="s">
        <v>71</v>
      </c>
      <c r="E1564" t="s">
        <v>22</v>
      </c>
      <c r="F1564" s="79">
        <v>46022</v>
      </c>
      <c r="G1564">
        <v>2025</v>
      </c>
      <c r="H1564" t="s">
        <v>23</v>
      </c>
      <c r="I1564" t="s">
        <v>32</v>
      </c>
      <c r="J1564">
        <v>80</v>
      </c>
      <c r="K1564">
        <v>100</v>
      </c>
      <c r="L1564" s="39">
        <f t="shared" si="122"/>
        <v>1.25</v>
      </c>
      <c r="M1564" s="39">
        <f t="shared" si="123"/>
        <v>1.25</v>
      </c>
      <c r="N1564" t="s">
        <v>25</v>
      </c>
      <c r="O1564" t="s">
        <v>25</v>
      </c>
      <c r="P1564">
        <v>0</v>
      </c>
      <c r="Q1564">
        <v>0</v>
      </c>
      <c r="R1564" t="s">
        <v>1380</v>
      </c>
    </row>
    <row r="1565" spans="1:18" x14ac:dyDescent="0.3">
      <c r="A1565">
        <v>492</v>
      </c>
      <c r="B1565" t="s">
        <v>1381</v>
      </c>
      <c r="C1565" t="s">
        <v>554</v>
      </c>
      <c r="D1565" t="s">
        <v>71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80</v>
      </c>
      <c r="K1565">
        <v>83</v>
      </c>
      <c r="L1565" s="39">
        <f t="shared" si="122"/>
        <v>1.0375000000000001</v>
      </c>
      <c r="M1565" s="39">
        <f t="shared" si="123"/>
        <v>1.0375000000000001</v>
      </c>
      <c r="P1565">
        <v>0</v>
      </c>
      <c r="Q1565">
        <v>0</v>
      </c>
      <c r="R1565" t="s">
        <v>1382</v>
      </c>
    </row>
    <row r="1566" spans="1:18" x14ac:dyDescent="0.3">
      <c r="A1566">
        <v>492</v>
      </c>
      <c r="B1566" t="s">
        <v>1381</v>
      </c>
      <c r="C1566" t="s">
        <v>554</v>
      </c>
      <c r="D1566" t="s">
        <v>71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95</v>
      </c>
      <c r="L1566" s="39">
        <f t="shared" si="122"/>
        <v>1.1875</v>
      </c>
      <c r="M1566" s="39">
        <f t="shared" si="123"/>
        <v>1.1875</v>
      </c>
      <c r="N1566" t="s">
        <v>25</v>
      </c>
      <c r="O1566" t="s">
        <v>25</v>
      </c>
      <c r="P1566">
        <v>0</v>
      </c>
      <c r="Q1566">
        <v>0</v>
      </c>
      <c r="R1566" t="s">
        <v>1383</v>
      </c>
    </row>
    <row r="1567" spans="1:18" x14ac:dyDescent="0.3">
      <c r="A1567">
        <v>493</v>
      </c>
      <c r="B1567" t="s">
        <v>1384</v>
      </c>
      <c r="C1567" t="s">
        <v>595</v>
      </c>
      <c r="D1567" t="s">
        <v>71</v>
      </c>
      <c r="E1567" t="s">
        <v>22</v>
      </c>
      <c r="F1567" s="79">
        <v>45657</v>
      </c>
      <c r="G1567">
        <v>2024</v>
      </c>
      <c r="H1567" t="s">
        <v>23</v>
      </c>
      <c r="I1567" t="s">
        <v>30</v>
      </c>
      <c r="J1567">
        <v>80</v>
      </c>
      <c r="K1567">
        <v>81</v>
      </c>
      <c r="L1567" s="39">
        <f t="shared" si="122"/>
        <v>1.0125</v>
      </c>
      <c r="M1567" s="39">
        <f t="shared" si="123"/>
        <v>1.0125</v>
      </c>
      <c r="P1567">
        <v>0</v>
      </c>
      <c r="Q1567">
        <v>0</v>
      </c>
      <c r="R1567" t="s">
        <v>1385</v>
      </c>
    </row>
    <row r="1568" spans="1:18" x14ac:dyDescent="0.3">
      <c r="A1568">
        <v>493</v>
      </c>
      <c r="B1568" t="s">
        <v>1384</v>
      </c>
      <c r="C1568" t="s">
        <v>595</v>
      </c>
      <c r="D1568" t="s">
        <v>71</v>
      </c>
      <c r="E1568" t="s">
        <v>22</v>
      </c>
      <c r="F1568" s="79">
        <v>46022</v>
      </c>
      <c r="G1568">
        <v>2025</v>
      </c>
      <c r="H1568" t="s">
        <v>23</v>
      </c>
      <c r="I1568" t="s">
        <v>32</v>
      </c>
      <c r="J1568">
        <v>80</v>
      </c>
      <c r="K1568">
        <v>77</v>
      </c>
      <c r="L1568" s="39">
        <f t="shared" si="122"/>
        <v>0.96250000000000002</v>
      </c>
      <c r="M1568" s="39">
        <f t="shared" si="123"/>
        <v>0.96250000000000002</v>
      </c>
      <c r="N1568" t="s">
        <v>25</v>
      </c>
      <c r="O1568" t="s">
        <v>25</v>
      </c>
      <c r="P1568">
        <v>0</v>
      </c>
      <c r="Q1568">
        <v>0</v>
      </c>
      <c r="R1568" t="s">
        <v>1386</v>
      </c>
    </row>
    <row r="1569" spans="1:19" x14ac:dyDescent="0.3">
      <c r="A1569">
        <v>494</v>
      </c>
      <c r="B1569" t="s">
        <v>1387</v>
      </c>
      <c r="C1569" t="s">
        <v>739</v>
      </c>
      <c r="D1569" t="s">
        <v>71</v>
      </c>
      <c r="E1569" t="s">
        <v>22</v>
      </c>
      <c r="F1569" s="79">
        <v>45657</v>
      </c>
      <c r="G1569">
        <v>2024</v>
      </c>
      <c r="H1569" t="s">
        <v>23</v>
      </c>
      <c r="I1569" t="s">
        <v>30</v>
      </c>
      <c r="J1569">
        <v>80</v>
      </c>
      <c r="K1569">
        <v>89</v>
      </c>
      <c r="L1569" s="39">
        <f t="shared" si="122"/>
        <v>1.1125</v>
      </c>
      <c r="M1569" s="39">
        <f t="shared" si="123"/>
        <v>1.1125</v>
      </c>
      <c r="P1569">
        <v>0</v>
      </c>
      <c r="Q1569">
        <v>0</v>
      </c>
      <c r="R1569" t="s">
        <v>1388</v>
      </c>
    </row>
    <row r="1570" spans="1:19" x14ac:dyDescent="0.3">
      <c r="A1570">
        <v>494</v>
      </c>
      <c r="B1570" t="s">
        <v>1387</v>
      </c>
      <c r="C1570" t="s">
        <v>739</v>
      </c>
      <c r="D1570" t="s">
        <v>71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J1570">
        <v>80</v>
      </c>
      <c r="K1570">
        <v>93</v>
      </c>
      <c r="L1570" s="39">
        <f t="shared" si="122"/>
        <v>1.1625000000000001</v>
      </c>
      <c r="M1570" s="39">
        <f t="shared" si="123"/>
        <v>1.1625000000000001</v>
      </c>
      <c r="N1570" t="s">
        <v>25</v>
      </c>
      <c r="O1570" t="s">
        <v>25</v>
      </c>
      <c r="P1570">
        <v>0</v>
      </c>
      <c r="Q1570">
        <v>0</v>
      </c>
      <c r="R1570" t="s">
        <v>1389</v>
      </c>
    </row>
    <row r="1571" spans="1:19" x14ac:dyDescent="0.3">
      <c r="A1571">
        <v>495</v>
      </c>
      <c r="B1571" t="s">
        <v>1390</v>
      </c>
      <c r="C1571" t="s">
        <v>901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1391</v>
      </c>
    </row>
    <row r="1572" spans="1:19" x14ac:dyDescent="0.3">
      <c r="A1572">
        <v>495</v>
      </c>
      <c r="B1572" t="s">
        <v>1390</v>
      </c>
      <c r="C1572" t="s">
        <v>901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63</v>
      </c>
      <c r="L1572" s="39">
        <f t="shared" si="122"/>
        <v>0.78749999999999998</v>
      </c>
      <c r="M1572" s="39">
        <f t="shared" si="123"/>
        <v>0.78749999999999998</v>
      </c>
      <c r="N1572" t="s">
        <v>25</v>
      </c>
      <c r="O1572" t="s">
        <v>25</v>
      </c>
      <c r="P1572">
        <v>0</v>
      </c>
      <c r="Q1572">
        <v>0</v>
      </c>
      <c r="R1572" t="s">
        <v>1392</v>
      </c>
    </row>
    <row r="1573" spans="1:19" x14ac:dyDescent="0.3">
      <c r="A1573">
        <v>496</v>
      </c>
      <c r="B1573" t="s">
        <v>1393</v>
      </c>
      <c r="C1573" t="s">
        <v>159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9">
        <f t="shared" si="122"/>
        <v>1.1000000000000001</v>
      </c>
      <c r="M1573" s="39">
        <f t="shared" si="123"/>
        <v>1.1000000000000001</v>
      </c>
      <c r="P1573">
        <v>0</v>
      </c>
      <c r="Q1573">
        <v>0</v>
      </c>
      <c r="R1573" t="s">
        <v>1394</v>
      </c>
    </row>
    <row r="1574" spans="1:19" x14ac:dyDescent="0.3">
      <c r="A1574">
        <v>496</v>
      </c>
      <c r="B1574" t="s">
        <v>1393</v>
      </c>
      <c r="C1574" t="s">
        <v>159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9">
        <f t="shared" si="122"/>
        <v>1.25</v>
      </c>
      <c r="M1574" s="39">
        <f t="shared" si="123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1395</v>
      </c>
    </row>
    <row r="1575" spans="1:19" x14ac:dyDescent="0.3">
      <c r="A1575">
        <v>497</v>
      </c>
      <c r="B1575" t="s">
        <v>1396</v>
      </c>
      <c r="C1575" t="s">
        <v>927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83</v>
      </c>
      <c r="L1575" s="39">
        <f t="shared" si="122"/>
        <v>1.0375000000000001</v>
      </c>
      <c r="M1575" s="39">
        <f t="shared" si="123"/>
        <v>1.0375000000000001</v>
      </c>
      <c r="P1575">
        <v>0</v>
      </c>
      <c r="Q1575">
        <v>0</v>
      </c>
      <c r="R1575" t="s">
        <v>1397</v>
      </c>
    </row>
    <row r="1576" spans="1:19" x14ac:dyDescent="0.3">
      <c r="A1576">
        <v>498</v>
      </c>
      <c r="B1576" t="s">
        <v>1398</v>
      </c>
      <c r="C1576" t="s">
        <v>619</v>
      </c>
      <c r="D1576" t="s">
        <v>71</v>
      </c>
      <c r="E1576" t="s">
        <v>22</v>
      </c>
      <c r="F1576" s="79">
        <v>45657</v>
      </c>
      <c r="G1576">
        <v>2024</v>
      </c>
      <c r="H1576" t="s">
        <v>23</v>
      </c>
      <c r="I1576" t="s">
        <v>30</v>
      </c>
      <c r="J1576">
        <v>80</v>
      </c>
      <c r="K1576">
        <v>92</v>
      </c>
      <c r="L1576" s="39">
        <f t="shared" si="122"/>
        <v>1.1499999999999999</v>
      </c>
      <c r="M1576" s="39">
        <f t="shared" si="123"/>
        <v>1.1499999999999999</v>
      </c>
      <c r="P1576">
        <v>0</v>
      </c>
      <c r="Q1576">
        <v>0</v>
      </c>
      <c r="R1576" t="s">
        <v>1399</v>
      </c>
    </row>
    <row r="1577" spans="1:19" x14ac:dyDescent="0.3">
      <c r="A1577">
        <v>498</v>
      </c>
      <c r="B1577" t="s">
        <v>1398</v>
      </c>
      <c r="C1577" t="s">
        <v>619</v>
      </c>
      <c r="D1577" t="s">
        <v>71</v>
      </c>
      <c r="E1577" t="s">
        <v>22</v>
      </c>
      <c r="F1577" s="79">
        <v>46022</v>
      </c>
      <c r="G1577">
        <v>2025</v>
      </c>
      <c r="H1577" t="s">
        <v>23</v>
      </c>
      <c r="I1577" t="s">
        <v>32</v>
      </c>
      <c r="J1577">
        <v>80</v>
      </c>
      <c r="K1577">
        <v>95</v>
      </c>
      <c r="L1577" s="39">
        <f t="shared" si="122"/>
        <v>1.1875</v>
      </c>
      <c r="M1577" s="39">
        <f t="shared" si="123"/>
        <v>1.1875</v>
      </c>
      <c r="N1577" t="s">
        <v>25</v>
      </c>
      <c r="O1577" t="s">
        <v>25</v>
      </c>
      <c r="P1577">
        <v>0</v>
      </c>
      <c r="Q1577">
        <v>0</v>
      </c>
      <c r="R1577" t="s">
        <v>1400</v>
      </c>
    </row>
    <row r="1578" spans="1:19" x14ac:dyDescent="0.3">
      <c r="A1578">
        <v>499</v>
      </c>
      <c r="B1578" t="s">
        <v>1401</v>
      </c>
      <c r="C1578" t="s">
        <v>922</v>
      </c>
      <c r="D1578" t="s">
        <v>71</v>
      </c>
      <c r="E1578" t="s">
        <v>22</v>
      </c>
      <c r="F1578" s="79">
        <v>45657</v>
      </c>
      <c r="G1578">
        <v>2024</v>
      </c>
      <c r="H1578" t="s">
        <v>23</v>
      </c>
      <c r="I1578" t="s">
        <v>30</v>
      </c>
      <c r="J1578">
        <v>80</v>
      </c>
      <c r="K1578">
        <v>87</v>
      </c>
      <c r="L1578" s="39">
        <f t="shared" si="122"/>
        <v>1.0874999999999999</v>
      </c>
      <c r="M1578" s="39">
        <f t="shared" si="123"/>
        <v>1.0874999999999999</v>
      </c>
      <c r="P1578">
        <v>0</v>
      </c>
      <c r="Q1578">
        <v>0</v>
      </c>
      <c r="R1578" t="s">
        <v>1402</v>
      </c>
    </row>
    <row r="1579" spans="1:19" x14ac:dyDescent="0.3">
      <c r="A1579">
        <v>499</v>
      </c>
      <c r="B1579" t="s">
        <v>1401</v>
      </c>
      <c r="C1579" t="s">
        <v>922</v>
      </c>
      <c r="D1579" t="s">
        <v>71</v>
      </c>
      <c r="E1579" t="s">
        <v>22</v>
      </c>
      <c r="F1579" s="79">
        <v>46022</v>
      </c>
      <c r="G1579">
        <v>2025</v>
      </c>
      <c r="H1579" t="s">
        <v>23</v>
      </c>
      <c r="I1579" t="s">
        <v>32</v>
      </c>
      <c r="L1579" s="39" t="str">
        <f t="shared" si="122"/>
        <v/>
      </c>
      <c r="M1579" s="39" t="str">
        <f t="shared" si="123"/>
        <v/>
      </c>
      <c r="N1579" t="s">
        <v>25</v>
      </c>
      <c r="O1579" t="s">
        <v>25</v>
      </c>
      <c r="P1579">
        <v>0</v>
      </c>
      <c r="Q1579">
        <v>0</v>
      </c>
      <c r="R1579" t="s">
        <v>1403</v>
      </c>
      <c r="S1579" t="s">
        <v>302</v>
      </c>
    </row>
    <row r="1580" spans="1:19" x14ac:dyDescent="0.3">
      <c r="A1580">
        <v>500</v>
      </c>
      <c r="B1580" t="s">
        <v>1404</v>
      </c>
      <c r="C1580" t="s">
        <v>753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89</v>
      </c>
      <c r="L1580" s="39">
        <f t="shared" si="122"/>
        <v>1.1125</v>
      </c>
      <c r="M1580" s="39">
        <f t="shared" si="123"/>
        <v>1.1125</v>
      </c>
      <c r="P1580">
        <v>0</v>
      </c>
      <c r="Q1580">
        <v>0</v>
      </c>
      <c r="R1580" t="s">
        <v>1405</v>
      </c>
    </row>
    <row r="1581" spans="1:19" x14ac:dyDescent="0.3">
      <c r="A1581">
        <v>500</v>
      </c>
      <c r="B1581" t="s">
        <v>1404</v>
      </c>
      <c r="C1581" t="s">
        <v>753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22"/>
        <v>1.25</v>
      </c>
      <c r="M1581" s="39">
        <f t="shared" si="123"/>
        <v>1.25</v>
      </c>
      <c r="N1581" t="s">
        <v>25</v>
      </c>
      <c r="O1581" t="s">
        <v>25</v>
      </c>
      <c r="P1581">
        <v>0</v>
      </c>
      <c r="Q1581">
        <v>0</v>
      </c>
      <c r="R1581" t="s">
        <v>1406</v>
      </c>
    </row>
    <row r="1582" spans="1:19" x14ac:dyDescent="0.3">
      <c r="A1582">
        <v>501</v>
      </c>
      <c r="B1582" t="s">
        <v>1407</v>
      </c>
      <c r="C1582" t="s">
        <v>549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22"/>
        <v>1.1000000000000001</v>
      </c>
      <c r="M1582" s="39">
        <f t="shared" si="123"/>
        <v>1.1000000000000001</v>
      </c>
      <c r="P1582">
        <v>0</v>
      </c>
      <c r="Q1582">
        <v>0</v>
      </c>
      <c r="R1582" t="s">
        <v>1408</v>
      </c>
    </row>
    <row r="1583" spans="1:19" x14ac:dyDescent="0.3">
      <c r="A1583">
        <v>501</v>
      </c>
      <c r="B1583" t="s">
        <v>1407</v>
      </c>
      <c r="C1583" t="s">
        <v>549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22"/>
        <v>1.25</v>
      </c>
      <c r="M1583" s="39">
        <f t="shared" si="123"/>
        <v>1.25</v>
      </c>
      <c r="N1583" t="s">
        <v>25</v>
      </c>
      <c r="O1583" t="s">
        <v>25</v>
      </c>
      <c r="P1583">
        <v>0</v>
      </c>
      <c r="Q1583">
        <v>0</v>
      </c>
      <c r="R1583" t="s">
        <v>1409</v>
      </c>
    </row>
    <row r="1584" spans="1:19" x14ac:dyDescent="0.3">
      <c r="A1584">
        <v>502</v>
      </c>
      <c r="B1584" t="s">
        <v>1410</v>
      </c>
      <c r="C1584" t="s">
        <v>274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90</v>
      </c>
      <c r="L1584" s="39">
        <f t="shared" si="122"/>
        <v>1.125</v>
      </c>
      <c r="M1584" s="39">
        <f t="shared" si="123"/>
        <v>1.125</v>
      </c>
      <c r="P1584">
        <v>0</v>
      </c>
      <c r="Q1584">
        <v>0</v>
      </c>
      <c r="R1584" t="s">
        <v>1411</v>
      </c>
    </row>
    <row r="1585" spans="1:18" x14ac:dyDescent="0.3">
      <c r="A1585">
        <v>502</v>
      </c>
      <c r="B1585" t="s">
        <v>1410</v>
      </c>
      <c r="C1585" t="s">
        <v>274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97</v>
      </c>
      <c r="L1585" s="39">
        <f t="shared" si="122"/>
        <v>1.2124999999999999</v>
      </c>
      <c r="M1585" s="39">
        <f t="shared" si="123"/>
        <v>1.2124999999999999</v>
      </c>
      <c r="N1585" t="s">
        <v>25</v>
      </c>
      <c r="O1585" t="s">
        <v>25</v>
      </c>
      <c r="P1585">
        <v>0</v>
      </c>
      <c r="Q1585">
        <v>0</v>
      </c>
      <c r="R1585" t="s">
        <v>1412</v>
      </c>
    </row>
    <row r="1586" spans="1:18" x14ac:dyDescent="0.3">
      <c r="A1586">
        <v>503</v>
      </c>
      <c r="B1586" t="s">
        <v>1413</v>
      </c>
      <c r="C1586" t="s">
        <v>1059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P1586">
        <v>0</v>
      </c>
      <c r="Q1586">
        <v>0</v>
      </c>
      <c r="R1586" t="s">
        <v>1414</v>
      </c>
    </row>
    <row r="1587" spans="1:18" x14ac:dyDescent="0.3">
      <c r="A1587">
        <v>503</v>
      </c>
      <c r="B1587" t="s">
        <v>1413</v>
      </c>
      <c r="C1587" t="s">
        <v>1059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94</v>
      </c>
      <c r="L1587" s="39">
        <f t="shared" si="122"/>
        <v>1.175</v>
      </c>
      <c r="M1587" s="39">
        <f t="shared" si="123"/>
        <v>1.175</v>
      </c>
      <c r="N1587" t="s">
        <v>25</v>
      </c>
      <c r="O1587" t="s">
        <v>25</v>
      </c>
      <c r="P1587">
        <v>0</v>
      </c>
      <c r="Q1587">
        <v>0</v>
      </c>
      <c r="R1587" t="s">
        <v>1415</v>
      </c>
    </row>
    <row r="1588" spans="1:18" x14ac:dyDescent="0.3">
      <c r="A1588">
        <v>504</v>
      </c>
      <c r="B1588" t="s">
        <v>1416</v>
      </c>
      <c r="C1588" t="s">
        <v>1110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88</v>
      </c>
      <c r="L1588" s="39">
        <f t="shared" si="122"/>
        <v>1.1000000000000001</v>
      </c>
      <c r="M1588" s="39">
        <f t="shared" si="123"/>
        <v>1.1000000000000001</v>
      </c>
      <c r="P1588">
        <v>0</v>
      </c>
      <c r="Q1588">
        <v>0</v>
      </c>
      <c r="R1588" t="s">
        <v>1417</v>
      </c>
    </row>
    <row r="1589" spans="1:18" x14ac:dyDescent="0.3">
      <c r="A1589">
        <v>504</v>
      </c>
      <c r="B1589" t="s">
        <v>1416</v>
      </c>
      <c r="C1589" t="s">
        <v>1110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88</v>
      </c>
      <c r="L1589" s="39">
        <f t="shared" si="122"/>
        <v>1.1000000000000001</v>
      </c>
      <c r="M1589" s="39">
        <f t="shared" si="123"/>
        <v>1.1000000000000001</v>
      </c>
      <c r="N1589" t="s">
        <v>25</v>
      </c>
      <c r="O1589" t="s">
        <v>25</v>
      </c>
      <c r="P1589">
        <v>0</v>
      </c>
      <c r="Q1589">
        <v>0</v>
      </c>
      <c r="R1589" t="s">
        <v>1418</v>
      </c>
    </row>
    <row r="1590" spans="1:18" x14ac:dyDescent="0.3">
      <c r="A1590">
        <v>505</v>
      </c>
      <c r="B1590" t="s">
        <v>1419</v>
      </c>
      <c r="C1590" t="s">
        <v>1183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85</v>
      </c>
      <c r="L1590" s="39">
        <f t="shared" si="122"/>
        <v>1.0625</v>
      </c>
      <c r="M1590" s="39">
        <f t="shared" si="123"/>
        <v>1.0625</v>
      </c>
      <c r="P1590">
        <v>0</v>
      </c>
      <c r="Q1590">
        <v>0</v>
      </c>
      <c r="R1590" t="s">
        <v>1420</v>
      </c>
    </row>
    <row r="1591" spans="1:18" x14ac:dyDescent="0.3">
      <c r="A1591">
        <v>505</v>
      </c>
      <c r="B1591" t="s">
        <v>1419</v>
      </c>
      <c r="C1591" t="s">
        <v>1183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86</v>
      </c>
      <c r="L1591" s="39">
        <f t="shared" si="122"/>
        <v>1.075</v>
      </c>
      <c r="M1591" s="39">
        <f t="shared" si="123"/>
        <v>1.075</v>
      </c>
      <c r="N1591" t="s">
        <v>25</v>
      </c>
      <c r="O1591" t="s">
        <v>25</v>
      </c>
      <c r="P1591">
        <v>0</v>
      </c>
      <c r="Q1591">
        <v>0</v>
      </c>
      <c r="R1591" t="s">
        <v>1421</v>
      </c>
    </row>
    <row r="1592" spans="1:18" x14ac:dyDescent="0.3">
      <c r="A1592">
        <v>506</v>
      </c>
      <c r="B1592" t="s">
        <v>1422</v>
      </c>
      <c r="C1592" t="s">
        <v>941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67</v>
      </c>
      <c r="L1592" s="39">
        <f t="shared" si="122"/>
        <v>0.83750000000000002</v>
      </c>
      <c r="M1592" s="39">
        <f t="shared" si="123"/>
        <v>0.83750000000000002</v>
      </c>
      <c r="P1592">
        <v>0</v>
      </c>
      <c r="Q1592">
        <v>0</v>
      </c>
      <c r="R1592" t="s">
        <v>1423</v>
      </c>
    </row>
    <row r="1593" spans="1:18" x14ac:dyDescent="0.3">
      <c r="A1593">
        <v>506</v>
      </c>
      <c r="B1593" t="s">
        <v>1422</v>
      </c>
      <c r="C1593" t="s">
        <v>941</v>
      </c>
      <c r="D1593" t="s">
        <v>21</v>
      </c>
      <c r="E1593" t="s">
        <v>22</v>
      </c>
      <c r="F1593" s="79">
        <v>45838</v>
      </c>
      <c r="G1593">
        <v>2025</v>
      </c>
      <c r="H1593" t="s">
        <v>699</v>
      </c>
      <c r="I1593" t="s">
        <v>700</v>
      </c>
      <c r="J1593">
        <v>80</v>
      </c>
      <c r="K1593">
        <v>95</v>
      </c>
      <c r="L1593" s="39">
        <f t="shared" si="122"/>
        <v>1.1875</v>
      </c>
      <c r="M1593" s="39">
        <f t="shared" si="123"/>
        <v>1.1875</v>
      </c>
      <c r="N1593" t="s">
        <v>25</v>
      </c>
      <c r="O1593" t="s">
        <v>25</v>
      </c>
      <c r="P1593">
        <v>0</v>
      </c>
      <c r="Q1593">
        <v>0</v>
      </c>
      <c r="R1593" t="s">
        <v>3191</v>
      </c>
    </row>
    <row r="1594" spans="1:18" x14ac:dyDescent="0.3">
      <c r="A1594">
        <v>506</v>
      </c>
      <c r="B1594" t="s">
        <v>1422</v>
      </c>
      <c r="C1594" t="s">
        <v>941</v>
      </c>
      <c r="D1594" t="s">
        <v>21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92.5</v>
      </c>
      <c r="L1594" s="39">
        <f t="shared" si="122"/>
        <v>1.15625</v>
      </c>
      <c r="M1594" s="39">
        <f t="shared" si="123"/>
        <v>1.15625</v>
      </c>
      <c r="N1594" t="s">
        <v>25</v>
      </c>
      <c r="O1594" t="s">
        <v>25</v>
      </c>
      <c r="P1594">
        <v>0</v>
      </c>
      <c r="Q1594">
        <v>0</v>
      </c>
      <c r="R1594" t="s">
        <v>1424</v>
      </c>
    </row>
    <row r="1595" spans="1:18" x14ac:dyDescent="0.3">
      <c r="A1595">
        <v>507</v>
      </c>
      <c r="B1595" t="s">
        <v>1425</v>
      </c>
      <c r="C1595" t="s">
        <v>711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77</v>
      </c>
      <c r="L1595" s="39">
        <f t="shared" si="122"/>
        <v>0.96250000000000002</v>
      </c>
      <c r="M1595" s="39">
        <f t="shared" si="123"/>
        <v>0.96250000000000002</v>
      </c>
      <c r="P1595">
        <v>0</v>
      </c>
      <c r="Q1595">
        <v>0</v>
      </c>
      <c r="R1595" t="s">
        <v>1426</v>
      </c>
    </row>
    <row r="1596" spans="1:18" x14ac:dyDescent="0.3">
      <c r="A1596">
        <v>507</v>
      </c>
      <c r="B1596" t="s">
        <v>1425</v>
      </c>
      <c r="C1596" t="s">
        <v>711</v>
      </c>
      <c r="D1596" t="s">
        <v>21</v>
      </c>
      <c r="E1596" t="s">
        <v>22</v>
      </c>
      <c r="F1596" s="79">
        <v>45838</v>
      </c>
      <c r="G1596">
        <v>2025</v>
      </c>
      <c r="H1596" t="s">
        <v>699</v>
      </c>
      <c r="I1596" t="s">
        <v>700</v>
      </c>
      <c r="J1596">
        <v>80</v>
      </c>
      <c r="K1596">
        <v>98.75</v>
      </c>
      <c r="L1596" s="39">
        <f t="shared" si="122"/>
        <v>1.234375</v>
      </c>
      <c r="M1596" s="39">
        <f t="shared" si="123"/>
        <v>1.234375</v>
      </c>
      <c r="N1596" t="s">
        <v>25</v>
      </c>
      <c r="O1596" t="s">
        <v>25</v>
      </c>
      <c r="P1596">
        <v>0</v>
      </c>
      <c r="Q1596">
        <v>0</v>
      </c>
      <c r="R1596" t="s">
        <v>3192</v>
      </c>
    </row>
    <row r="1597" spans="1:18" x14ac:dyDescent="0.3">
      <c r="A1597">
        <v>507</v>
      </c>
      <c r="B1597" t="s">
        <v>1425</v>
      </c>
      <c r="C1597" t="s">
        <v>711</v>
      </c>
      <c r="D1597" t="s">
        <v>21</v>
      </c>
      <c r="E1597" t="s">
        <v>22</v>
      </c>
      <c r="F1597" s="79">
        <v>46022</v>
      </c>
      <c r="G1597">
        <v>2025</v>
      </c>
      <c r="H1597" t="s">
        <v>23</v>
      </c>
      <c r="I1597" t="s">
        <v>32</v>
      </c>
      <c r="J1597">
        <v>80</v>
      </c>
      <c r="K1597">
        <v>99</v>
      </c>
      <c r="L1597" s="39">
        <f t="shared" si="122"/>
        <v>1.2375</v>
      </c>
      <c r="M1597" s="39">
        <f t="shared" si="123"/>
        <v>1.2375</v>
      </c>
      <c r="N1597" t="s">
        <v>25</v>
      </c>
      <c r="O1597" t="s">
        <v>25</v>
      </c>
      <c r="P1597">
        <v>0</v>
      </c>
      <c r="Q1597">
        <v>0</v>
      </c>
      <c r="R1597" t="s">
        <v>1427</v>
      </c>
    </row>
    <row r="1598" spans="1:18" x14ac:dyDescent="0.3">
      <c r="A1598">
        <v>508</v>
      </c>
      <c r="B1598" t="s">
        <v>1428</v>
      </c>
      <c r="C1598" t="s">
        <v>1089</v>
      </c>
      <c r="D1598" t="s">
        <v>71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88</v>
      </c>
      <c r="L1598" s="39">
        <f t="shared" si="122"/>
        <v>1.1000000000000001</v>
      </c>
      <c r="M1598" s="39">
        <f t="shared" si="123"/>
        <v>1.1000000000000001</v>
      </c>
      <c r="P1598">
        <v>0</v>
      </c>
      <c r="Q1598">
        <v>0</v>
      </c>
      <c r="R1598" t="s">
        <v>1429</v>
      </c>
    </row>
    <row r="1599" spans="1:18" x14ac:dyDescent="0.3">
      <c r="A1599">
        <v>508</v>
      </c>
      <c r="B1599" t="s">
        <v>1428</v>
      </c>
      <c r="C1599" t="s">
        <v>1089</v>
      </c>
      <c r="D1599" t="s">
        <v>71</v>
      </c>
      <c r="E1599" t="s">
        <v>22</v>
      </c>
      <c r="F1599" s="79">
        <v>46022</v>
      </c>
      <c r="G1599">
        <v>2025</v>
      </c>
      <c r="H1599" t="s">
        <v>23</v>
      </c>
      <c r="I1599" t="s">
        <v>32</v>
      </c>
      <c r="J1599">
        <v>80</v>
      </c>
      <c r="K1599">
        <v>89</v>
      </c>
      <c r="L1599" s="39">
        <f t="shared" si="122"/>
        <v>1.1125</v>
      </c>
      <c r="M1599" s="39">
        <f t="shared" si="123"/>
        <v>1.1125</v>
      </c>
      <c r="N1599" t="s">
        <v>25</v>
      </c>
      <c r="O1599" t="s">
        <v>25</v>
      </c>
      <c r="P1599">
        <v>0</v>
      </c>
      <c r="Q1599">
        <v>0</v>
      </c>
      <c r="R1599" t="s">
        <v>1430</v>
      </c>
    </row>
    <row r="1600" spans="1:18" x14ac:dyDescent="0.3">
      <c r="A1600">
        <v>509</v>
      </c>
      <c r="B1600" t="s">
        <v>1431</v>
      </c>
      <c r="C1600" t="s">
        <v>511</v>
      </c>
      <c r="D1600" t="s">
        <v>54</v>
      </c>
      <c r="E1600" t="s">
        <v>22</v>
      </c>
      <c r="F1600" s="79">
        <v>45838</v>
      </c>
      <c r="G1600">
        <v>2025</v>
      </c>
      <c r="H1600" t="s">
        <v>699</v>
      </c>
      <c r="I1600" t="s">
        <v>700</v>
      </c>
      <c r="J1600">
        <v>90</v>
      </c>
      <c r="K1600">
        <v>100.59</v>
      </c>
      <c r="L1600" s="39">
        <f t="shared" si="122"/>
        <v>1.1176666666666668</v>
      </c>
      <c r="M1600" s="39">
        <f t="shared" si="123"/>
        <v>1.1176666666666668</v>
      </c>
      <c r="N1600" t="s">
        <v>25</v>
      </c>
      <c r="O1600" t="s">
        <v>25</v>
      </c>
      <c r="P1600">
        <v>0</v>
      </c>
      <c r="Q1600">
        <v>0</v>
      </c>
      <c r="R1600" t="s">
        <v>3198</v>
      </c>
    </row>
    <row r="1601" spans="1:18" x14ac:dyDescent="0.3">
      <c r="A1601">
        <v>509</v>
      </c>
      <c r="B1601" t="s">
        <v>1431</v>
      </c>
      <c r="C1601" t="s">
        <v>511</v>
      </c>
      <c r="D1601" t="s">
        <v>54</v>
      </c>
      <c r="E1601" t="s">
        <v>22</v>
      </c>
      <c r="F1601" s="79">
        <v>46022</v>
      </c>
      <c r="G1601">
        <v>2025</v>
      </c>
      <c r="H1601" t="s">
        <v>23</v>
      </c>
      <c r="I1601" t="s">
        <v>32</v>
      </c>
      <c r="J1601">
        <v>90</v>
      </c>
      <c r="K1601">
        <v>97.33</v>
      </c>
      <c r="L1601" s="39">
        <f t="shared" si="122"/>
        <v>1.0814444444444444</v>
      </c>
      <c r="M1601" s="39">
        <f t="shared" si="123"/>
        <v>1.0814444444444444</v>
      </c>
      <c r="N1601" t="s">
        <v>25</v>
      </c>
      <c r="O1601" t="s">
        <v>25</v>
      </c>
      <c r="P1601">
        <v>0</v>
      </c>
      <c r="Q1601">
        <v>0</v>
      </c>
      <c r="R1601" t="s">
        <v>1432</v>
      </c>
    </row>
    <row r="1602" spans="1:18" x14ac:dyDescent="0.3">
      <c r="A1602">
        <v>510</v>
      </c>
      <c r="B1602" t="s">
        <v>1433</v>
      </c>
      <c r="C1602" t="s">
        <v>732</v>
      </c>
      <c r="D1602" t="s">
        <v>27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K1602">
        <v>0</v>
      </c>
      <c r="L1602" s="39"/>
      <c r="M1602" s="39"/>
      <c r="N1602" t="s">
        <v>355</v>
      </c>
      <c r="O1602" t="s">
        <v>25</v>
      </c>
      <c r="P1602">
        <v>0</v>
      </c>
      <c r="Q1602">
        <v>0</v>
      </c>
      <c r="R1602" t="s">
        <v>3205</v>
      </c>
    </row>
    <row r="1603" spans="1:18" x14ac:dyDescent="0.3">
      <c r="A1603">
        <v>510</v>
      </c>
      <c r="B1603" t="s">
        <v>1433</v>
      </c>
      <c r="C1603" t="s">
        <v>732</v>
      </c>
      <c r="D1603" t="s">
        <v>27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K1603">
        <v>0</v>
      </c>
      <c r="L1603" s="39"/>
      <c r="M1603" s="39"/>
      <c r="N1603" t="s">
        <v>355</v>
      </c>
      <c r="O1603" t="s">
        <v>25</v>
      </c>
      <c r="P1603">
        <v>0</v>
      </c>
      <c r="Q1603">
        <v>0</v>
      </c>
      <c r="R1603" t="s">
        <v>1434</v>
      </c>
    </row>
    <row r="1604" spans="1:18" x14ac:dyDescent="0.3">
      <c r="A1604">
        <v>511</v>
      </c>
      <c r="B1604" t="s">
        <v>1435</v>
      </c>
      <c r="C1604" t="s">
        <v>732</v>
      </c>
      <c r="D1604" t="s">
        <v>27</v>
      </c>
      <c r="E1604" t="s">
        <v>22</v>
      </c>
      <c r="F1604" s="79">
        <v>45838</v>
      </c>
      <c r="G1604">
        <v>2025</v>
      </c>
      <c r="H1604" t="s">
        <v>699</v>
      </c>
      <c r="I1604" t="s">
        <v>700</v>
      </c>
      <c r="K1604">
        <v>86.36</v>
      </c>
      <c r="L1604" s="39"/>
      <c r="M1604" s="39"/>
      <c r="N1604" t="s">
        <v>355</v>
      </c>
      <c r="O1604" t="s">
        <v>25</v>
      </c>
      <c r="P1604">
        <v>0</v>
      </c>
      <c r="Q1604">
        <v>0</v>
      </c>
      <c r="R1604" t="s">
        <v>3208</v>
      </c>
    </row>
    <row r="1605" spans="1:18" x14ac:dyDescent="0.3">
      <c r="A1605">
        <v>511</v>
      </c>
      <c r="B1605" t="s">
        <v>1435</v>
      </c>
      <c r="C1605" t="s">
        <v>732</v>
      </c>
      <c r="D1605" t="s">
        <v>27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171.12</v>
      </c>
      <c r="L1605" s="39"/>
      <c r="M1605" s="39"/>
      <c r="N1605" t="s">
        <v>355</v>
      </c>
      <c r="O1605" t="s">
        <v>25</v>
      </c>
      <c r="P1605">
        <v>0</v>
      </c>
      <c r="Q1605">
        <v>0</v>
      </c>
      <c r="R1605" t="s">
        <v>1436</v>
      </c>
    </row>
    <row r="1606" spans="1:18" x14ac:dyDescent="0.3">
      <c r="A1606">
        <v>513</v>
      </c>
      <c r="B1606" t="s">
        <v>1437</v>
      </c>
      <c r="C1606" t="s">
        <v>732</v>
      </c>
      <c r="D1606" t="s">
        <v>27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K1606">
        <v>100</v>
      </c>
      <c r="L1606" s="39"/>
      <c r="M1606" s="39"/>
      <c r="N1606" t="s">
        <v>355</v>
      </c>
      <c r="O1606" t="s">
        <v>25</v>
      </c>
      <c r="P1606">
        <v>0</v>
      </c>
      <c r="Q1606">
        <v>0</v>
      </c>
      <c r="R1606" t="s">
        <v>3211</v>
      </c>
    </row>
    <row r="1607" spans="1:18" x14ac:dyDescent="0.3">
      <c r="A1607">
        <v>514</v>
      </c>
      <c r="B1607" t="s">
        <v>1439</v>
      </c>
      <c r="C1607" t="s">
        <v>732</v>
      </c>
      <c r="D1607" t="s">
        <v>21</v>
      </c>
      <c r="E1607" t="s">
        <v>22</v>
      </c>
      <c r="F1607" s="79">
        <v>45838</v>
      </c>
      <c r="G1607">
        <v>2025</v>
      </c>
      <c r="H1607" t="s">
        <v>699</v>
      </c>
      <c r="I1607" t="s">
        <v>700</v>
      </c>
      <c r="J1607">
        <v>70</v>
      </c>
      <c r="K1607">
        <v>91.82</v>
      </c>
      <c r="L1607" s="39">
        <f>IFERROR(IF(OR(J1607=0,K1607=""),"",IF(E1607="Positivo",MIN(MAX(K1607/J1607,0),1.3),MIN(MAX(J1607/K1607,0),1.3))),"")</f>
        <v>1.3</v>
      </c>
      <c r="M1607" s="39">
        <f>IFERROR(IF(OR(J1607=0,K1607=""),"",IF(E1607="Positivo",MAX(K1607/J1607,0),MAX(J1607/K1607,0))),"")</f>
        <v>1.3117142857142856</v>
      </c>
      <c r="N1607" t="s">
        <v>25</v>
      </c>
      <c r="O1607" t="s">
        <v>25</v>
      </c>
      <c r="P1607">
        <v>0</v>
      </c>
      <c r="Q1607">
        <v>0</v>
      </c>
      <c r="R1607" t="s">
        <v>3213</v>
      </c>
    </row>
    <row r="1608" spans="1:18" x14ac:dyDescent="0.3">
      <c r="A1608">
        <v>514</v>
      </c>
      <c r="B1608" t="s">
        <v>1439</v>
      </c>
      <c r="C1608" t="s">
        <v>732</v>
      </c>
      <c r="D1608" t="s">
        <v>21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70</v>
      </c>
      <c r="K1608">
        <v>45.96</v>
      </c>
      <c r="L1608" s="39">
        <f>IFERROR(IF(OR(J1608=0,K1608=""),"",IF(E1608="Positivo",MIN(MAX(K1608/J1608,0),1.3),MIN(MAX(J1608/K1608,0),1.3))),"")</f>
        <v>0.65657142857142858</v>
      </c>
      <c r="M1608" s="39">
        <f>IFERROR(IF(OR(J1608=0,K1608=""),"",IF(E1608="Positivo",MAX(K1608/J1608,0),MAX(J1608/K1608,0))),"")</f>
        <v>0.65657142857142858</v>
      </c>
      <c r="N1608" t="s">
        <v>25</v>
      </c>
      <c r="O1608" t="s">
        <v>25</v>
      </c>
      <c r="P1608">
        <v>0</v>
      </c>
      <c r="Q1608">
        <v>0</v>
      </c>
      <c r="R1608" t="s">
        <v>1440</v>
      </c>
    </row>
    <row r="1609" spans="1:18" x14ac:dyDescent="0.3">
      <c r="A1609">
        <v>515</v>
      </c>
      <c r="B1609" t="s">
        <v>1441</v>
      </c>
      <c r="C1609" t="s">
        <v>53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K1609">
        <v>66.67</v>
      </c>
      <c r="L1609" s="39"/>
      <c r="M1609" s="39"/>
      <c r="N1609" t="s">
        <v>25</v>
      </c>
      <c r="O1609" t="s">
        <v>25</v>
      </c>
      <c r="P1609">
        <v>0</v>
      </c>
      <c r="Q1609">
        <v>0</v>
      </c>
      <c r="R1609" t="s">
        <v>1442</v>
      </c>
    </row>
    <row r="1610" spans="1:18" x14ac:dyDescent="0.3">
      <c r="A1610">
        <v>516</v>
      </c>
      <c r="B1610" t="s">
        <v>1443</v>
      </c>
      <c r="C1610" t="s">
        <v>53</v>
      </c>
      <c r="D1610" t="s">
        <v>21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K1610">
        <v>315.79000000000002</v>
      </c>
      <c r="L1610" s="39"/>
      <c r="M1610" s="39"/>
      <c r="N1610" t="s">
        <v>25</v>
      </c>
      <c r="O1610" t="s">
        <v>25</v>
      </c>
      <c r="P1610">
        <v>0</v>
      </c>
      <c r="Q1610">
        <v>0</v>
      </c>
      <c r="R1610" t="s">
        <v>1444</v>
      </c>
    </row>
    <row r="1611" spans="1:18" x14ac:dyDescent="0.3">
      <c r="A1611">
        <v>518</v>
      </c>
      <c r="B1611" t="s">
        <v>62</v>
      </c>
      <c r="C1611" t="s">
        <v>63</v>
      </c>
      <c r="D1611" t="s">
        <v>64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100</v>
      </c>
      <c r="K1611">
        <v>87.5</v>
      </c>
      <c r="L1611" s="39">
        <f t="shared" ref="L1611:L1643" si="124">IFERROR(IF(OR(J1611=0,K1611=""),"",IF(E1611="Positivo",MIN(MAX(K1611/J1611,0),1.3),MIN(MAX(J1611/K1611,0),1.3))),"")</f>
        <v>0.875</v>
      </c>
      <c r="M1611" s="39">
        <f t="shared" ref="M1611:M1643" si="125">IFERROR(IF(OR(J1611=0,K1611=""),"",IF(E1611="Positivo",MAX(K1611/J1611,0),MAX(J1611/K1611,0))),"")</f>
        <v>0.875</v>
      </c>
      <c r="N1611" t="s">
        <v>25</v>
      </c>
      <c r="O1611" t="s">
        <v>25</v>
      </c>
      <c r="P1611">
        <v>0</v>
      </c>
      <c r="Q1611">
        <v>0</v>
      </c>
      <c r="R1611" t="s">
        <v>3215</v>
      </c>
    </row>
    <row r="1612" spans="1:18" x14ac:dyDescent="0.3">
      <c r="A1612">
        <v>518</v>
      </c>
      <c r="B1612" t="s">
        <v>62</v>
      </c>
      <c r="C1612" t="s">
        <v>63</v>
      </c>
      <c r="D1612" t="s">
        <v>27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100</v>
      </c>
      <c r="K1612">
        <v>137.5</v>
      </c>
      <c r="L1612" s="39">
        <f t="shared" si="124"/>
        <v>1.3</v>
      </c>
      <c r="M1612" s="39">
        <f t="shared" si="125"/>
        <v>1.375</v>
      </c>
      <c r="N1612" t="s">
        <v>25</v>
      </c>
      <c r="O1612" t="s">
        <v>25</v>
      </c>
      <c r="P1612">
        <v>0</v>
      </c>
      <c r="Q1612">
        <v>0</v>
      </c>
      <c r="R1612" t="s">
        <v>1445</v>
      </c>
    </row>
    <row r="1613" spans="1:18" x14ac:dyDescent="0.3">
      <c r="A1613">
        <v>519</v>
      </c>
      <c r="B1613" t="s">
        <v>1446</v>
      </c>
      <c r="C1613" t="s">
        <v>1078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431.45</v>
      </c>
      <c r="L1613" s="39">
        <f t="shared" si="124"/>
        <v>1.3</v>
      </c>
      <c r="M1613" s="39">
        <f t="shared" si="125"/>
        <v>4.3144999999999998</v>
      </c>
      <c r="N1613" t="s">
        <v>25</v>
      </c>
      <c r="O1613" t="s">
        <v>25</v>
      </c>
      <c r="P1613">
        <v>0</v>
      </c>
      <c r="Q1613">
        <v>0</v>
      </c>
      <c r="R1613" t="s">
        <v>3217</v>
      </c>
    </row>
    <row r="1614" spans="1:18" x14ac:dyDescent="0.3">
      <c r="A1614">
        <v>519</v>
      </c>
      <c r="B1614" t="s">
        <v>1446</v>
      </c>
      <c r="C1614" t="s">
        <v>1078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131.13</v>
      </c>
      <c r="L1614" s="39">
        <f t="shared" si="124"/>
        <v>1.3</v>
      </c>
      <c r="M1614" s="39">
        <f t="shared" si="125"/>
        <v>1.3112999999999999</v>
      </c>
      <c r="N1614" t="s">
        <v>25</v>
      </c>
      <c r="O1614" t="s">
        <v>25</v>
      </c>
      <c r="P1614">
        <v>0</v>
      </c>
      <c r="Q1614">
        <v>0</v>
      </c>
      <c r="R1614" t="s">
        <v>1447</v>
      </c>
    </row>
    <row r="1615" spans="1:18" x14ac:dyDescent="0.3">
      <c r="A1615">
        <v>522</v>
      </c>
      <c r="B1615" t="s">
        <v>1448</v>
      </c>
      <c r="C1615" t="s">
        <v>549</v>
      </c>
      <c r="D1615" t="s">
        <v>71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20</v>
      </c>
      <c r="K1615">
        <v>100</v>
      </c>
      <c r="L1615" s="39">
        <f t="shared" si="124"/>
        <v>1.3</v>
      </c>
      <c r="M1615" s="39">
        <f t="shared" si="125"/>
        <v>5</v>
      </c>
      <c r="N1615" t="s">
        <v>25</v>
      </c>
      <c r="O1615" t="s">
        <v>25</v>
      </c>
      <c r="P1615">
        <v>0</v>
      </c>
      <c r="Q1615">
        <v>0</v>
      </c>
      <c r="R1615" t="s">
        <v>1449</v>
      </c>
    </row>
    <row r="1616" spans="1:18" x14ac:dyDescent="0.3">
      <c r="A1616">
        <v>523</v>
      </c>
      <c r="B1616" t="s">
        <v>1043</v>
      </c>
      <c r="C1616" t="s">
        <v>159</v>
      </c>
      <c r="D1616" t="s">
        <v>21</v>
      </c>
      <c r="E1616" t="s">
        <v>22</v>
      </c>
      <c r="F1616" s="79">
        <v>45838</v>
      </c>
      <c r="G1616">
        <v>2025</v>
      </c>
      <c r="H1616" t="s">
        <v>699</v>
      </c>
      <c r="I1616" t="s">
        <v>700</v>
      </c>
      <c r="J1616">
        <v>95</v>
      </c>
      <c r="K1616">
        <v>128.41</v>
      </c>
      <c r="L1616" s="39">
        <f t="shared" si="124"/>
        <v>1.3</v>
      </c>
      <c r="M1616" s="39">
        <f t="shared" si="125"/>
        <v>1.3516842105263158</v>
      </c>
      <c r="N1616" t="s">
        <v>25</v>
      </c>
      <c r="O1616" t="s">
        <v>25</v>
      </c>
      <c r="P1616">
        <v>0</v>
      </c>
      <c r="Q1616">
        <v>0</v>
      </c>
      <c r="R1616" t="s">
        <v>3218</v>
      </c>
    </row>
    <row r="1617" spans="1:18" x14ac:dyDescent="0.3">
      <c r="A1617">
        <v>523</v>
      </c>
      <c r="B1617" t="s">
        <v>1043</v>
      </c>
      <c r="C1617" t="s">
        <v>159</v>
      </c>
      <c r="D1617" t="s">
        <v>21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95</v>
      </c>
      <c r="K1617">
        <v>95.76</v>
      </c>
      <c r="L1617" s="39">
        <f t="shared" si="124"/>
        <v>1.008</v>
      </c>
      <c r="M1617" s="39">
        <f t="shared" si="125"/>
        <v>1.008</v>
      </c>
      <c r="N1617" t="s">
        <v>25</v>
      </c>
      <c r="O1617" t="s">
        <v>25</v>
      </c>
      <c r="P1617">
        <v>0</v>
      </c>
      <c r="Q1617">
        <v>0</v>
      </c>
      <c r="R1617" t="s">
        <v>1450</v>
      </c>
    </row>
    <row r="1618" spans="1:18" x14ac:dyDescent="0.3">
      <c r="A1618">
        <v>524</v>
      </c>
      <c r="B1618" t="s">
        <v>1182</v>
      </c>
      <c r="C1618" t="s">
        <v>1183</v>
      </c>
      <c r="D1618" t="s">
        <v>21</v>
      </c>
      <c r="E1618" t="s">
        <v>22</v>
      </c>
      <c r="F1618" s="79">
        <v>45838</v>
      </c>
      <c r="G1618">
        <v>2025</v>
      </c>
      <c r="H1618" t="s">
        <v>699</v>
      </c>
      <c r="I1618" t="s">
        <v>700</v>
      </c>
      <c r="J1618">
        <v>100</v>
      </c>
      <c r="K1618">
        <v>99.38</v>
      </c>
      <c r="L1618" s="39">
        <f t="shared" si="124"/>
        <v>0.99379999999999991</v>
      </c>
      <c r="M1618" s="39">
        <f t="shared" si="125"/>
        <v>0.99379999999999991</v>
      </c>
      <c r="N1618" t="s">
        <v>128</v>
      </c>
      <c r="O1618" t="s">
        <v>128</v>
      </c>
      <c r="P1618">
        <v>0</v>
      </c>
      <c r="Q1618">
        <v>0</v>
      </c>
      <c r="R1618" t="s">
        <v>3219</v>
      </c>
    </row>
    <row r="1619" spans="1:18" x14ac:dyDescent="0.3">
      <c r="A1619">
        <v>524</v>
      </c>
      <c r="B1619" t="s">
        <v>1182</v>
      </c>
      <c r="C1619" t="s">
        <v>1183</v>
      </c>
      <c r="D1619" t="s">
        <v>21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100</v>
      </c>
      <c r="K1619">
        <v>106.07</v>
      </c>
      <c r="L1619" s="39">
        <f t="shared" si="124"/>
        <v>1.0607</v>
      </c>
      <c r="M1619" s="39">
        <f t="shared" si="125"/>
        <v>1.0607</v>
      </c>
      <c r="N1619" t="s">
        <v>128</v>
      </c>
      <c r="O1619" t="s">
        <v>128</v>
      </c>
      <c r="P1619">
        <v>0</v>
      </c>
      <c r="Q1619">
        <v>0</v>
      </c>
      <c r="R1619" t="s">
        <v>1451</v>
      </c>
    </row>
    <row r="1620" spans="1:18" x14ac:dyDescent="0.3">
      <c r="A1620">
        <v>526</v>
      </c>
      <c r="B1620" t="s">
        <v>1452</v>
      </c>
      <c r="C1620" t="s">
        <v>706</v>
      </c>
      <c r="D1620" t="s">
        <v>27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95</v>
      </c>
      <c r="K1620">
        <v>96.6</v>
      </c>
      <c r="L1620" s="39">
        <f t="shared" si="124"/>
        <v>1.0168421052631578</v>
      </c>
      <c r="M1620" s="39">
        <f t="shared" si="125"/>
        <v>1.0168421052631578</v>
      </c>
      <c r="N1620" t="s">
        <v>25</v>
      </c>
      <c r="O1620" t="s">
        <v>25</v>
      </c>
      <c r="P1620">
        <v>0</v>
      </c>
      <c r="Q1620">
        <v>0</v>
      </c>
      <c r="R1620" t="s">
        <v>3268</v>
      </c>
    </row>
    <row r="1621" spans="1:18" x14ac:dyDescent="0.3">
      <c r="A1621">
        <v>527</v>
      </c>
      <c r="B1621" t="s">
        <v>1454</v>
      </c>
      <c r="C1621" t="s">
        <v>567</v>
      </c>
      <c r="D1621" t="s">
        <v>71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100</v>
      </c>
      <c r="K1621">
        <v>197.94</v>
      </c>
      <c r="L1621" s="39">
        <f t="shared" si="124"/>
        <v>1.3</v>
      </c>
      <c r="M1621" s="39">
        <f t="shared" si="125"/>
        <v>1.9794</v>
      </c>
      <c r="N1621" t="s">
        <v>25</v>
      </c>
      <c r="O1621" t="s">
        <v>25</v>
      </c>
      <c r="P1621">
        <v>0</v>
      </c>
      <c r="Q1621">
        <v>0</v>
      </c>
      <c r="R1621" t="s">
        <v>1455</v>
      </c>
    </row>
    <row r="1622" spans="1:18" x14ac:dyDescent="0.3">
      <c r="A1622">
        <v>528</v>
      </c>
      <c r="B1622" t="s">
        <v>1456</v>
      </c>
      <c r="C1622" t="s">
        <v>567</v>
      </c>
      <c r="D1622" t="s">
        <v>71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173.92055267703</v>
      </c>
      <c r="L1622" s="39">
        <f t="shared" si="124"/>
        <v>1.3</v>
      </c>
      <c r="M1622" s="39">
        <f t="shared" si="125"/>
        <v>1.7392055267702999</v>
      </c>
      <c r="N1622" t="s">
        <v>128</v>
      </c>
      <c r="O1622" t="s">
        <v>128</v>
      </c>
      <c r="P1622">
        <v>0</v>
      </c>
      <c r="Q1622">
        <v>0</v>
      </c>
      <c r="R1622" t="s">
        <v>3221</v>
      </c>
    </row>
    <row r="1623" spans="1:18" x14ac:dyDescent="0.3">
      <c r="A1623">
        <v>528</v>
      </c>
      <c r="B1623" t="s">
        <v>1456</v>
      </c>
      <c r="C1623" t="s">
        <v>567</v>
      </c>
      <c r="D1623" t="s">
        <v>71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1158</v>
      </c>
      <c r="L1623" s="39">
        <f t="shared" si="124"/>
        <v>1.3</v>
      </c>
      <c r="M1623" s="39">
        <f t="shared" si="125"/>
        <v>11.58</v>
      </c>
      <c r="N1623" t="s">
        <v>128</v>
      </c>
      <c r="O1623" t="s">
        <v>128</v>
      </c>
      <c r="P1623">
        <v>0</v>
      </c>
      <c r="Q1623">
        <v>0</v>
      </c>
      <c r="R1623" t="s">
        <v>1457</v>
      </c>
    </row>
    <row r="1624" spans="1:18" x14ac:dyDescent="0.3">
      <c r="A1624">
        <v>529</v>
      </c>
      <c r="B1624" t="s">
        <v>1458</v>
      </c>
      <c r="C1624" t="s">
        <v>167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180</v>
      </c>
      <c r="K1624">
        <v>294.16000000000003</v>
      </c>
      <c r="L1624" s="39">
        <f t="shared" si="124"/>
        <v>1.3</v>
      </c>
      <c r="M1624" s="39">
        <f t="shared" si="125"/>
        <v>1.6342222222222225</v>
      </c>
      <c r="N1624" t="s">
        <v>25</v>
      </c>
      <c r="O1624" t="s">
        <v>25</v>
      </c>
      <c r="P1624">
        <v>0</v>
      </c>
      <c r="Q1624">
        <v>0</v>
      </c>
      <c r="R1624" t="s">
        <v>1459</v>
      </c>
    </row>
    <row r="1625" spans="1:18" x14ac:dyDescent="0.3">
      <c r="A1625">
        <v>530</v>
      </c>
      <c r="B1625" t="s">
        <v>1460</v>
      </c>
      <c r="C1625" t="s">
        <v>53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97</v>
      </c>
      <c r="K1625">
        <v>85.56</v>
      </c>
      <c r="L1625" s="39">
        <f t="shared" si="124"/>
        <v>0.88206185567010309</v>
      </c>
      <c r="M1625" s="39">
        <f t="shared" si="125"/>
        <v>0.88206185567010309</v>
      </c>
      <c r="N1625" t="s">
        <v>25</v>
      </c>
      <c r="O1625" t="s">
        <v>25</v>
      </c>
      <c r="P1625">
        <v>0</v>
      </c>
      <c r="Q1625">
        <v>0</v>
      </c>
      <c r="R1625" t="s">
        <v>1461</v>
      </c>
    </row>
    <row r="1626" spans="1:18" x14ac:dyDescent="0.3">
      <c r="A1626">
        <v>531</v>
      </c>
      <c r="B1626" t="s">
        <v>1462</v>
      </c>
      <c r="C1626" t="s">
        <v>53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90</v>
      </c>
      <c r="K1626">
        <v>93.94</v>
      </c>
      <c r="L1626" s="39">
        <f t="shared" si="124"/>
        <v>1.0437777777777777</v>
      </c>
      <c r="M1626" s="39">
        <f t="shared" si="125"/>
        <v>1.0437777777777777</v>
      </c>
      <c r="N1626" t="s">
        <v>25</v>
      </c>
      <c r="O1626" t="s">
        <v>25</v>
      </c>
      <c r="P1626">
        <v>0</v>
      </c>
      <c r="Q1626">
        <v>0</v>
      </c>
      <c r="R1626" t="s">
        <v>1463</v>
      </c>
    </row>
    <row r="1627" spans="1:18" x14ac:dyDescent="0.3">
      <c r="A1627">
        <v>532</v>
      </c>
      <c r="B1627" t="s">
        <v>1464</v>
      </c>
      <c r="C1627" t="s">
        <v>246</v>
      </c>
      <c r="D1627" t="s">
        <v>21</v>
      </c>
      <c r="E1627" t="s">
        <v>22</v>
      </c>
      <c r="F1627" s="79">
        <v>45838</v>
      </c>
      <c r="G1627">
        <v>2025</v>
      </c>
      <c r="H1627" t="s">
        <v>699</v>
      </c>
      <c r="I1627" t="s">
        <v>700</v>
      </c>
      <c r="J1627">
        <v>100</v>
      </c>
      <c r="K1627">
        <v>133.15</v>
      </c>
      <c r="L1627" s="39">
        <f t="shared" si="124"/>
        <v>1.3</v>
      </c>
      <c r="M1627" s="39">
        <f t="shared" si="125"/>
        <v>1.3315000000000001</v>
      </c>
      <c r="N1627" t="s">
        <v>25</v>
      </c>
      <c r="O1627" t="s">
        <v>25</v>
      </c>
      <c r="P1627">
        <v>0</v>
      </c>
      <c r="Q1627">
        <v>0</v>
      </c>
      <c r="R1627" t="s">
        <v>3224</v>
      </c>
    </row>
    <row r="1628" spans="1:18" x14ac:dyDescent="0.3">
      <c r="A1628">
        <v>532</v>
      </c>
      <c r="B1628" t="s">
        <v>1464</v>
      </c>
      <c r="C1628" t="s">
        <v>246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J1628">
        <v>100</v>
      </c>
      <c r="K1628">
        <v>134.78</v>
      </c>
      <c r="L1628" s="39">
        <f t="shared" si="124"/>
        <v>1.3</v>
      </c>
      <c r="M1628" s="39">
        <f t="shared" si="125"/>
        <v>1.3478000000000001</v>
      </c>
      <c r="N1628" t="s">
        <v>25</v>
      </c>
      <c r="O1628" t="s">
        <v>25</v>
      </c>
      <c r="P1628">
        <v>0</v>
      </c>
      <c r="Q1628">
        <v>0</v>
      </c>
      <c r="R1628" t="s">
        <v>1465</v>
      </c>
    </row>
    <row r="1629" spans="1:18" x14ac:dyDescent="0.3">
      <c r="A1629">
        <v>533</v>
      </c>
      <c r="B1629" t="s">
        <v>1466</v>
      </c>
      <c r="C1629" t="s">
        <v>246</v>
      </c>
      <c r="D1629" t="s">
        <v>21</v>
      </c>
      <c r="E1629" t="s">
        <v>22</v>
      </c>
      <c r="F1629" s="79">
        <v>45838</v>
      </c>
      <c r="G1629">
        <v>2025</v>
      </c>
      <c r="H1629" t="s">
        <v>699</v>
      </c>
      <c r="I1629" t="s">
        <v>700</v>
      </c>
      <c r="J1629">
        <v>100</v>
      </c>
      <c r="K1629">
        <v>124.89</v>
      </c>
      <c r="L1629" s="39">
        <f t="shared" si="124"/>
        <v>1.2488999999999999</v>
      </c>
      <c r="M1629" s="39">
        <f t="shared" si="125"/>
        <v>1.2488999999999999</v>
      </c>
      <c r="N1629" t="s">
        <v>25</v>
      </c>
      <c r="O1629" t="s">
        <v>25</v>
      </c>
      <c r="P1629">
        <v>0</v>
      </c>
      <c r="Q1629">
        <v>0</v>
      </c>
      <c r="R1629" t="s">
        <v>3225</v>
      </c>
    </row>
    <row r="1630" spans="1:18" x14ac:dyDescent="0.3">
      <c r="A1630">
        <v>533</v>
      </c>
      <c r="B1630" t="s">
        <v>1466</v>
      </c>
      <c r="C1630" t="s">
        <v>246</v>
      </c>
      <c r="D1630" t="s">
        <v>21</v>
      </c>
      <c r="E1630" t="s">
        <v>22</v>
      </c>
      <c r="F1630" s="79">
        <v>46022</v>
      </c>
      <c r="G1630">
        <v>2025</v>
      </c>
      <c r="H1630" t="s">
        <v>23</v>
      </c>
      <c r="I1630" t="s">
        <v>32</v>
      </c>
      <c r="J1630">
        <v>100</v>
      </c>
      <c r="K1630">
        <v>177.95</v>
      </c>
      <c r="L1630" s="39">
        <f t="shared" si="124"/>
        <v>1.3</v>
      </c>
      <c r="M1630" s="39">
        <f t="shared" si="125"/>
        <v>1.7794999999999999</v>
      </c>
      <c r="N1630" t="s">
        <v>25</v>
      </c>
      <c r="O1630" t="s">
        <v>25</v>
      </c>
      <c r="P1630">
        <v>0</v>
      </c>
      <c r="Q1630">
        <v>0</v>
      </c>
      <c r="R1630" t="s">
        <v>1467</v>
      </c>
    </row>
    <row r="1631" spans="1:18" x14ac:dyDescent="0.3">
      <c r="A1631">
        <v>534</v>
      </c>
      <c r="B1631" t="s">
        <v>1468</v>
      </c>
      <c r="C1631" t="s">
        <v>246</v>
      </c>
      <c r="D1631" t="s">
        <v>21</v>
      </c>
      <c r="E1631" t="s">
        <v>22</v>
      </c>
      <c r="F1631" s="79">
        <v>45838</v>
      </c>
      <c r="G1631">
        <v>2025</v>
      </c>
      <c r="H1631" t="s">
        <v>699</v>
      </c>
      <c r="I1631" t="s">
        <v>700</v>
      </c>
      <c r="J1631">
        <v>100</v>
      </c>
      <c r="K1631">
        <v>134.09</v>
      </c>
      <c r="L1631" s="39">
        <f t="shared" si="124"/>
        <v>1.3</v>
      </c>
      <c r="M1631" s="39">
        <f t="shared" si="125"/>
        <v>1.3409</v>
      </c>
      <c r="N1631" t="s">
        <v>25</v>
      </c>
      <c r="O1631" t="s">
        <v>25</v>
      </c>
      <c r="P1631">
        <v>0</v>
      </c>
      <c r="Q1631">
        <v>0</v>
      </c>
      <c r="R1631" t="s">
        <v>3226</v>
      </c>
    </row>
    <row r="1632" spans="1:18" x14ac:dyDescent="0.3">
      <c r="A1632">
        <v>534</v>
      </c>
      <c r="B1632" t="s">
        <v>1468</v>
      </c>
      <c r="C1632" t="s">
        <v>246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100</v>
      </c>
      <c r="K1632">
        <v>134.53</v>
      </c>
      <c r="L1632" s="39">
        <f t="shared" si="124"/>
        <v>1.3</v>
      </c>
      <c r="M1632" s="39">
        <f t="shared" si="125"/>
        <v>1.3452999999999999</v>
      </c>
      <c r="N1632" t="s">
        <v>25</v>
      </c>
      <c r="O1632" t="s">
        <v>25</v>
      </c>
      <c r="P1632">
        <v>0</v>
      </c>
      <c r="Q1632">
        <v>0</v>
      </c>
      <c r="R1632" t="s">
        <v>1469</v>
      </c>
    </row>
    <row r="1633" spans="1:19" x14ac:dyDescent="0.3">
      <c r="A1633">
        <v>535</v>
      </c>
      <c r="B1633" t="s">
        <v>1470</v>
      </c>
      <c r="C1633" t="s">
        <v>246</v>
      </c>
      <c r="D1633" t="s">
        <v>21</v>
      </c>
      <c r="E1633" t="s">
        <v>22</v>
      </c>
      <c r="F1633" s="79">
        <v>45838</v>
      </c>
      <c r="G1633">
        <v>2025</v>
      </c>
      <c r="H1633" t="s">
        <v>699</v>
      </c>
      <c r="I1633" t="s">
        <v>700</v>
      </c>
      <c r="J1633">
        <v>100</v>
      </c>
      <c r="K1633">
        <v>132.66999999999999</v>
      </c>
      <c r="L1633" s="39">
        <f t="shared" si="124"/>
        <v>1.3</v>
      </c>
      <c r="M1633" s="39">
        <f t="shared" si="125"/>
        <v>1.3266999999999998</v>
      </c>
      <c r="N1633" t="s">
        <v>25</v>
      </c>
      <c r="O1633" t="s">
        <v>25</v>
      </c>
      <c r="P1633">
        <v>0</v>
      </c>
      <c r="Q1633">
        <v>0</v>
      </c>
      <c r="R1633" t="s">
        <v>3227</v>
      </c>
    </row>
    <row r="1634" spans="1:19" x14ac:dyDescent="0.3">
      <c r="A1634">
        <v>535</v>
      </c>
      <c r="B1634" t="s">
        <v>1470</v>
      </c>
      <c r="C1634" t="s">
        <v>246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100</v>
      </c>
      <c r="K1634">
        <v>209.63</v>
      </c>
      <c r="L1634" s="39">
        <f t="shared" si="124"/>
        <v>1.3</v>
      </c>
      <c r="M1634" s="39">
        <f t="shared" si="125"/>
        <v>2.0962999999999998</v>
      </c>
      <c r="N1634" t="s">
        <v>25</v>
      </c>
      <c r="O1634" t="s">
        <v>25</v>
      </c>
      <c r="P1634">
        <v>0</v>
      </c>
      <c r="Q1634">
        <v>0</v>
      </c>
      <c r="R1634" t="s">
        <v>1471</v>
      </c>
    </row>
    <row r="1635" spans="1:19" x14ac:dyDescent="0.3">
      <c r="A1635">
        <v>536</v>
      </c>
      <c r="B1635" t="s">
        <v>1472</v>
      </c>
      <c r="C1635" t="s">
        <v>246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100</v>
      </c>
      <c r="K1635">
        <v>109.33</v>
      </c>
      <c r="L1635" s="39">
        <f t="shared" si="124"/>
        <v>1.0932999999999999</v>
      </c>
      <c r="M1635" s="39">
        <f t="shared" si="125"/>
        <v>1.0932999999999999</v>
      </c>
      <c r="N1635" t="s">
        <v>25</v>
      </c>
      <c r="O1635" t="s">
        <v>25</v>
      </c>
      <c r="P1635">
        <v>0</v>
      </c>
      <c r="Q1635">
        <v>0</v>
      </c>
      <c r="R1635" t="s">
        <v>3228</v>
      </c>
    </row>
    <row r="1636" spans="1:19" x14ac:dyDescent="0.3">
      <c r="A1636">
        <v>536</v>
      </c>
      <c r="B1636" t="s">
        <v>1472</v>
      </c>
      <c r="C1636" t="s">
        <v>246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100</v>
      </c>
      <c r="K1636">
        <v>260.75</v>
      </c>
      <c r="L1636" s="39">
        <f t="shared" si="124"/>
        <v>1.3</v>
      </c>
      <c r="M1636" s="39">
        <f t="shared" si="125"/>
        <v>2.6074999999999999</v>
      </c>
      <c r="N1636" t="s">
        <v>25</v>
      </c>
      <c r="O1636" t="s">
        <v>25</v>
      </c>
      <c r="P1636">
        <v>0</v>
      </c>
      <c r="Q1636">
        <v>0</v>
      </c>
      <c r="R1636" t="s">
        <v>1473</v>
      </c>
    </row>
    <row r="1637" spans="1:19" x14ac:dyDescent="0.3">
      <c r="A1637">
        <v>537</v>
      </c>
      <c r="B1637" t="s">
        <v>1474</v>
      </c>
      <c r="C1637" t="s">
        <v>333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65</v>
      </c>
      <c r="K1637">
        <v>58.9</v>
      </c>
      <c r="L1637" s="39">
        <f t="shared" si="124"/>
        <v>0.90615384615384609</v>
      </c>
      <c r="M1637" s="39">
        <f t="shared" si="125"/>
        <v>0.90615384615384609</v>
      </c>
      <c r="N1637" t="s">
        <v>128</v>
      </c>
      <c r="O1637" t="s">
        <v>128</v>
      </c>
      <c r="P1637">
        <v>0</v>
      </c>
      <c r="Q1637">
        <v>0</v>
      </c>
      <c r="R1637" t="s">
        <v>3229</v>
      </c>
    </row>
    <row r="1638" spans="1:19" x14ac:dyDescent="0.3">
      <c r="A1638">
        <v>537</v>
      </c>
      <c r="B1638" t="s">
        <v>1474</v>
      </c>
      <c r="C1638" t="s">
        <v>333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65</v>
      </c>
      <c r="K1638">
        <v>64.3</v>
      </c>
      <c r="L1638" s="39">
        <f t="shared" si="124"/>
        <v>0.98923076923076914</v>
      </c>
      <c r="M1638" s="39">
        <f t="shared" si="125"/>
        <v>0.98923076923076914</v>
      </c>
      <c r="N1638" t="s">
        <v>128</v>
      </c>
      <c r="O1638" t="s">
        <v>128</v>
      </c>
      <c r="P1638">
        <v>0</v>
      </c>
      <c r="Q1638">
        <v>0</v>
      </c>
      <c r="R1638" t="s">
        <v>1475</v>
      </c>
    </row>
    <row r="1639" spans="1:19" x14ac:dyDescent="0.3">
      <c r="A1639">
        <v>538</v>
      </c>
      <c r="B1639" t="s">
        <v>1476</v>
      </c>
      <c r="C1639" t="s">
        <v>541</v>
      </c>
      <c r="D1639" t="s">
        <v>21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90</v>
      </c>
      <c r="K1639">
        <v>100</v>
      </c>
      <c r="L1639" s="39">
        <f t="shared" si="124"/>
        <v>1.1111111111111112</v>
      </c>
      <c r="M1639" s="39">
        <f t="shared" si="125"/>
        <v>1.1111111111111112</v>
      </c>
      <c r="N1639" t="s">
        <v>25</v>
      </c>
      <c r="O1639" t="s">
        <v>25</v>
      </c>
      <c r="P1639">
        <v>0</v>
      </c>
      <c r="Q1639">
        <v>0</v>
      </c>
      <c r="R1639" t="s">
        <v>1477</v>
      </c>
    </row>
    <row r="1640" spans="1:19" x14ac:dyDescent="0.3">
      <c r="A1640">
        <v>539</v>
      </c>
      <c r="B1640" t="s">
        <v>1478</v>
      </c>
      <c r="C1640" t="s">
        <v>541</v>
      </c>
      <c r="D1640" t="s">
        <v>21</v>
      </c>
      <c r="E1640" t="s">
        <v>41</v>
      </c>
      <c r="F1640" s="79">
        <v>46022</v>
      </c>
      <c r="G1640">
        <v>2025</v>
      </c>
      <c r="H1640" t="s">
        <v>23</v>
      </c>
      <c r="I1640" t="s">
        <v>32</v>
      </c>
      <c r="J1640">
        <v>2.5</v>
      </c>
      <c r="K1640">
        <v>2.5</v>
      </c>
      <c r="L1640" s="39">
        <f t="shared" si="124"/>
        <v>1</v>
      </c>
      <c r="M1640" s="39">
        <f t="shared" si="125"/>
        <v>1</v>
      </c>
      <c r="N1640" t="s">
        <v>25</v>
      </c>
      <c r="O1640" t="s">
        <v>25</v>
      </c>
      <c r="P1640">
        <v>0</v>
      </c>
      <c r="Q1640">
        <v>0</v>
      </c>
      <c r="R1640" t="s">
        <v>1479</v>
      </c>
    </row>
    <row r="1641" spans="1:19" x14ac:dyDescent="0.3">
      <c r="A1641">
        <v>540</v>
      </c>
      <c r="B1641" t="s">
        <v>1480</v>
      </c>
      <c r="C1641" t="s">
        <v>922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97</v>
      </c>
      <c r="K1641">
        <v>97.33</v>
      </c>
      <c r="L1641" s="39">
        <f t="shared" si="124"/>
        <v>1.00340206185567</v>
      </c>
      <c r="M1641" s="39">
        <f t="shared" si="125"/>
        <v>1.00340206185567</v>
      </c>
      <c r="N1641" t="s">
        <v>25</v>
      </c>
      <c r="O1641" t="s">
        <v>25</v>
      </c>
      <c r="P1641">
        <v>0</v>
      </c>
      <c r="Q1641">
        <v>0</v>
      </c>
      <c r="R1641" t="s">
        <v>3230</v>
      </c>
    </row>
    <row r="1642" spans="1:19" x14ac:dyDescent="0.3">
      <c r="A1642">
        <v>540</v>
      </c>
      <c r="B1642" t="s">
        <v>1480</v>
      </c>
      <c r="C1642" t="s">
        <v>922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97</v>
      </c>
      <c r="K1642">
        <v>97.9</v>
      </c>
      <c r="L1642" s="39">
        <f t="shared" si="124"/>
        <v>1.0092783505154639</v>
      </c>
      <c r="M1642" s="39">
        <f t="shared" si="125"/>
        <v>1.0092783505154639</v>
      </c>
      <c r="N1642" t="s">
        <v>25</v>
      </c>
      <c r="O1642" t="s">
        <v>25</v>
      </c>
      <c r="P1642">
        <v>0</v>
      </c>
      <c r="Q1642">
        <v>0</v>
      </c>
      <c r="R1642" t="s">
        <v>1481</v>
      </c>
    </row>
    <row r="1643" spans="1:19" x14ac:dyDescent="0.3">
      <c r="A1643">
        <v>541</v>
      </c>
      <c r="B1643" t="s">
        <v>1482</v>
      </c>
      <c r="C1643" t="s">
        <v>842</v>
      </c>
      <c r="D1643" t="s">
        <v>71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4</v>
      </c>
      <c r="K1643">
        <v>6.99</v>
      </c>
      <c r="L1643" s="39">
        <f t="shared" si="124"/>
        <v>1.3</v>
      </c>
      <c r="M1643" s="39">
        <f t="shared" si="125"/>
        <v>1.7475000000000001</v>
      </c>
      <c r="N1643" t="s">
        <v>25</v>
      </c>
      <c r="O1643" t="s">
        <v>25</v>
      </c>
      <c r="P1643">
        <v>0</v>
      </c>
      <c r="Q1643">
        <v>0</v>
      </c>
      <c r="R1643" t="s">
        <v>1483</v>
      </c>
    </row>
    <row r="1644" spans="1:19" x14ac:dyDescent="0.3">
      <c r="A1644">
        <v>542</v>
      </c>
      <c r="B1644" t="s">
        <v>1484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K1644">
        <v>81.239999999999995</v>
      </c>
      <c r="L1644" s="39"/>
      <c r="M1644" s="39"/>
      <c r="N1644" t="s">
        <v>25</v>
      </c>
      <c r="O1644" t="s">
        <v>25</v>
      </c>
      <c r="P1644">
        <v>0</v>
      </c>
      <c r="Q1644">
        <v>0</v>
      </c>
      <c r="R1644" t="s">
        <v>1485</v>
      </c>
      <c r="S1644" t="s">
        <v>263</v>
      </c>
    </row>
    <row r="1645" spans="1:19" x14ac:dyDescent="0.3">
      <c r="A1645">
        <v>543</v>
      </c>
      <c r="B1645" t="s">
        <v>1486</v>
      </c>
      <c r="C1645" t="s">
        <v>308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K1645">
        <v>7.29</v>
      </c>
      <c r="L1645" s="39"/>
      <c r="M1645" s="39"/>
      <c r="N1645" t="s">
        <v>128</v>
      </c>
      <c r="O1645" t="s">
        <v>128</v>
      </c>
      <c r="P1645">
        <v>0</v>
      </c>
      <c r="Q1645">
        <v>0</v>
      </c>
      <c r="R1645" t="s">
        <v>3231</v>
      </c>
    </row>
    <row r="1646" spans="1:19" x14ac:dyDescent="0.3">
      <c r="A1646">
        <v>543</v>
      </c>
      <c r="B1646" t="s">
        <v>1486</v>
      </c>
      <c r="C1646" t="s">
        <v>308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K1646">
        <v>6.91</v>
      </c>
      <c r="L1646" s="39"/>
      <c r="M1646" s="39"/>
      <c r="N1646" t="s">
        <v>128</v>
      </c>
      <c r="O1646" t="s">
        <v>128</v>
      </c>
      <c r="P1646">
        <v>0</v>
      </c>
      <c r="Q1646">
        <v>0</v>
      </c>
      <c r="R1646" t="s">
        <v>1487</v>
      </c>
    </row>
    <row r="1647" spans="1:19" x14ac:dyDescent="0.3">
      <c r="A1647">
        <v>544</v>
      </c>
      <c r="B1647" t="s">
        <v>1488</v>
      </c>
      <c r="C1647" t="s">
        <v>1110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100</v>
      </c>
      <c r="K1647">
        <v>250</v>
      </c>
      <c r="L1647" s="39">
        <f>IFERROR(IF(OR(J1647=0,K1647=""),"",IF(E1647="Positivo",MIN(MAX(K1647/J1647,0),1.3),MIN(MAX(J1647/K1647,0),1.3))),"")</f>
        <v>1.3</v>
      </c>
      <c r="M1647" s="39">
        <f>IFERROR(IF(OR(J1647=0,K1647=""),"",IF(E1647="Positivo",MAX(K1647/J1647,0),MAX(J1647/K1647,0))),"")</f>
        <v>2.5</v>
      </c>
      <c r="N1647" t="s">
        <v>128</v>
      </c>
      <c r="O1647" t="s">
        <v>128</v>
      </c>
      <c r="P1647">
        <v>0</v>
      </c>
      <c r="Q1647">
        <v>0</v>
      </c>
      <c r="R1647" t="s">
        <v>3232</v>
      </c>
    </row>
    <row r="1648" spans="1:19" x14ac:dyDescent="0.3">
      <c r="A1648">
        <v>544</v>
      </c>
      <c r="B1648" t="s">
        <v>1488</v>
      </c>
      <c r="C1648" t="s">
        <v>1110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100</v>
      </c>
      <c r="K1648">
        <v>162.5</v>
      </c>
      <c r="L1648" s="39">
        <f>IFERROR(IF(OR(J1648=0,K1648=""),"",IF(E1648="Positivo",MIN(MAX(K1648/J1648,0),1.3),MIN(MAX(J1648/K1648,0),1.3))),"")</f>
        <v>1.3</v>
      </c>
      <c r="M1648" s="39">
        <f>IFERROR(IF(OR(J1648=0,K1648=""),"",IF(E1648="Positivo",MAX(K1648/J1648,0),MAX(J1648/K1648,0))),"")</f>
        <v>1.625</v>
      </c>
      <c r="N1648" t="s">
        <v>128</v>
      </c>
      <c r="O1648" t="s">
        <v>128</v>
      </c>
      <c r="P1648">
        <v>0</v>
      </c>
      <c r="Q1648">
        <v>0</v>
      </c>
      <c r="R1648" t="s">
        <v>1489</v>
      </c>
    </row>
    <row r="1649" spans="1:18" x14ac:dyDescent="0.3">
      <c r="A1649">
        <v>546</v>
      </c>
      <c r="B1649" t="s">
        <v>1490</v>
      </c>
      <c r="C1649" t="s">
        <v>842</v>
      </c>
      <c r="D1649" t="s">
        <v>71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113.38</v>
      </c>
      <c r="L1649" s="39">
        <f>IFERROR(IF(OR(J1649=0,K1649=""),"",IF(E1649="Positivo",MIN(MAX(K1649/J1649,0),1.3),MIN(MAX(J1649/K1649,0),1.3))),"")</f>
        <v>1.1337999999999999</v>
      </c>
      <c r="M1649" s="39">
        <f>IFERROR(IF(OR(J1649=0,K1649=""),"",IF(E1649="Positivo",MAX(K1649/J1649,0),MAX(J1649/K1649,0))),"")</f>
        <v>1.1337999999999999</v>
      </c>
      <c r="N1649" t="s">
        <v>25</v>
      </c>
      <c r="O1649" t="s">
        <v>25</v>
      </c>
      <c r="P1649">
        <v>0</v>
      </c>
      <c r="Q1649">
        <v>0</v>
      </c>
      <c r="R1649" t="s">
        <v>1491</v>
      </c>
    </row>
    <row r="1650" spans="1:18" x14ac:dyDescent="0.3">
      <c r="A1650">
        <v>547</v>
      </c>
      <c r="B1650" t="s">
        <v>1492</v>
      </c>
      <c r="C1650" t="s">
        <v>842</v>
      </c>
      <c r="D1650" t="s">
        <v>71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K1650">
        <v>92</v>
      </c>
      <c r="L1650" s="39"/>
      <c r="M1650" s="39"/>
      <c r="N1650" t="s">
        <v>25</v>
      </c>
      <c r="O1650" t="s">
        <v>25</v>
      </c>
      <c r="P1650">
        <v>0</v>
      </c>
      <c r="Q1650">
        <v>0</v>
      </c>
      <c r="R1650" t="s">
        <v>1493</v>
      </c>
    </row>
    <row r="1651" spans="1:18" x14ac:dyDescent="0.3">
      <c r="A1651">
        <v>550</v>
      </c>
      <c r="B1651" t="s">
        <v>1494</v>
      </c>
      <c r="C1651" t="s">
        <v>1097</v>
      </c>
      <c r="D1651" t="s">
        <v>21</v>
      </c>
      <c r="E1651" t="s">
        <v>22</v>
      </c>
      <c r="F1651" s="79">
        <v>45838</v>
      </c>
      <c r="G1651">
        <v>2025</v>
      </c>
      <c r="H1651" t="s">
        <v>699</v>
      </c>
      <c r="I1651" t="s">
        <v>700</v>
      </c>
      <c r="J1651">
        <v>80</v>
      </c>
      <c r="K1651">
        <v>95</v>
      </c>
      <c r="L1651" s="39">
        <f t="shared" ref="L1651:L1661" si="126">IFERROR(IF(OR(J1651=0,K1651=""),"",IF(E1651="Positivo",MIN(MAX(K1651/J1651,0),1.3),MIN(MAX(J1651/K1651,0),1.3))),"")</f>
        <v>1.1875</v>
      </c>
      <c r="M1651" s="39">
        <f t="shared" ref="M1651:M1661" si="127">IFERROR(IF(OR(J1651=0,K1651=""),"",IF(E1651="Positivo",MAX(K1651/J1651,0),MAX(J1651/K1651,0))),"")</f>
        <v>1.1875</v>
      </c>
      <c r="N1651" t="s">
        <v>25</v>
      </c>
      <c r="O1651" t="s">
        <v>25</v>
      </c>
      <c r="P1651">
        <v>0</v>
      </c>
      <c r="Q1651">
        <v>0</v>
      </c>
      <c r="R1651" t="s">
        <v>3233</v>
      </c>
    </row>
    <row r="1652" spans="1:18" x14ac:dyDescent="0.3">
      <c r="A1652">
        <v>550</v>
      </c>
      <c r="B1652" t="s">
        <v>1494</v>
      </c>
      <c r="C1652" t="s">
        <v>1097</v>
      </c>
      <c r="D1652" t="s">
        <v>21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95.5</v>
      </c>
      <c r="L1652" s="39">
        <f t="shared" si="126"/>
        <v>1.1937500000000001</v>
      </c>
      <c r="M1652" s="39">
        <f t="shared" si="127"/>
        <v>1.1937500000000001</v>
      </c>
      <c r="N1652" t="s">
        <v>25</v>
      </c>
      <c r="O1652" t="s">
        <v>25</v>
      </c>
      <c r="P1652">
        <v>0</v>
      </c>
      <c r="Q1652">
        <v>0</v>
      </c>
      <c r="R1652" t="s">
        <v>1495</v>
      </c>
    </row>
    <row r="1653" spans="1:18" x14ac:dyDescent="0.3">
      <c r="A1653">
        <v>551</v>
      </c>
      <c r="B1653" t="s">
        <v>1496</v>
      </c>
      <c r="C1653" t="s">
        <v>1097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J1653">
        <v>4</v>
      </c>
      <c r="K1653">
        <v>5</v>
      </c>
      <c r="L1653" s="39">
        <f t="shared" si="126"/>
        <v>1.25</v>
      </c>
      <c r="M1653" s="39">
        <f t="shared" si="127"/>
        <v>1.25</v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</row>
    <row r="1654" spans="1:18" x14ac:dyDescent="0.3">
      <c r="A1654">
        <v>551</v>
      </c>
      <c r="B1654" t="s">
        <v>1496</v>
      </c>
      <c r="C1654" t="s">
        <v>1097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4</v>
      </c>
      <c r="K1654">
        <v>5</v>
      </c>
      <c r="L1654" s="39">
        <f t="shared" si="126"/>
        <v>1.25</v>
      </c>
      <c r="M1654" s="39">
        <f t="shared" si="127"/>
        <v>1.25</v>
      </c>
      <c r="N1654" t="s">
        <v>25</v>
      </c>
      <c r="O1654" t="s">
        <v>25</v>
      </c>
      <c r="P1654">
        <v>0</v>
      </c>
      <c r="Q1654">
        <v>0</v>
      </c>
      <c r="R1654" t="s">
        <v>1497</v>
      </c>
    </row>
    <row r="1655" spans="1:18" x14ac:dyDescent="0.3">
      <c r="A1655">
        <v>552</v>
      </c>
      <c r="B1655" t="s">
        <v>1498</v>
      </c>
      <c r="C1655" t="s">
        <v>951</v>
      </c>
      <c r="D1655" t="s">
        <v>71</v>
      </c>
      <c r="E1655" t="s">
        <v>22</v>
      </c>
      <c r="F1655" s="79">
        <v>45838</v>
      </c>
      <c r="G1655">
        <v>2025</v>
      </c>
      <c r="H1655" t="s">
        <v>699</v>
      </c>
      <c r="I1655" t="s">
        <v>700</v>
      </c>
      <c r="J1655">
        <v>80</v>
      </c>
      <c r="K1655">
        <v>92</v>
      </c>
      <c r="L1655" s="39">
        <f t="shared" si="126"/>
        <v>1.1499999999999999</v>
      </c>
      <c r="M1655" s="39">
        <f t="shared" si="127"/>
        <v>1.1499999999999999</v>
      </c>
      <c r="N1655" t="s">
        <v>25</v>
      </c>
      <c r="O1655" t="s">
        <v>25</v>
      </c>
      <c r="P1655">
        <v>0</v>
      </c>
      <c r="Q1655">
        <v>0</v>
      </c>
      <c r="R1655" t="s">
        <v>3235</v>
      </c>
    </row>
    <row r="1656" spans="1:18" x14ac:dyDescent="0.3">
      <c r="A1656">
        <v>552</v>
      </c>
      <c r="B1656" t="s">
        <v>1498</v>
      </c>
      <c r="C1656" t="s">
        <v>951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80</v>
      </c>
      <c r="K1656">
        <v>92</v>
      </c>
      <c r="L1656" s="39">
        <f t="shared" si="126"/>
        <v>1.1499999999999999</v>
      </c>
      <c r="M1656" s="39">
        <f t="shared" si="127"/>
        <v>1.1499999999999999</v>
      </c>
      <c r="N1656" t="s">
        <v>25</v>
      </c>
      <c r="O1656" t="s">
        <v>25</v>
      </c>
      <c r="P1656">
        <v>0</v>
      </c>
      <c r="Q1656">
        <v>0</v>
      </c>
      <c r="R1656" t="s">
        <v>1499</v>
      </c>
    </row>
    <row r="1657" spans="1:18" x14ac:dyDescent="0.3">
      <c r="A1657">
        <v>553</v>
      </c>
      <c r="B1657" t="s">
        <v>1500</v>
      </c>
      <c r="C1657" t="s">
        <v>1020</v>
      </c>
      <c r="D1657" t="s">
        <v>71</v>
      </c>
      <c r="E1657" t="s">
        <v>22</v>
      </c>
      <c r="F1657" s="79">
        <v>46022</v>
      </c>
      <c r="G1657">
        <v>2025</v>
      </c>
      <c r="H1657" t="s">
        <v>23</v>
      </c>
      <c r="I1657" t="s">
        <v>32</v>
      </c>
      <c r="J1657">
        <v>80</v>
      </c>
      <c r="K1657">
        <v>83</v>
      </c>
      <c r="L1657" s="39">
        <f t="shared" si="126"/>
        <v>1.0375000000000001</v>
      </c>
      <c r="M1657" s="39">
        <f t="shared" si="127"/>
        <v>1.0375000000000001</v>
      </c>
      <c r="N1657" t="s">
        <v>25</v>
      </c>
      <c r="O1657" t="s">
        <v>25</v>
      </c>
      <c r="P1657">
        <v>0</v>
      </c>
      <c r="Q1657">
        <v>0</v>
      </c>
      <c r="R1657" t="s">
        <v>1501</v>
      </c>
    </row>
    <row r="1658" spans="1:18" x14ac:dyDescent="0.3">
      <c r="A1658">
        <v>554</v>
      </c>
      <c r="B1658" t="s">
        <v>1502</v>
      </c>
      <c r="C1658" t="s">
        <v>536</v>
      </c>
      <c r="D1658" t="s">
        <v>21</v>
      </c>
      <c r="E1658" t="s">
        <v>22</v>
      </c>
      <c r="F1658" s="79">
        <v>45838</v>
      </c>
      <c r="G1658">
        <v>2025</v>
      </c>
      <c r="H1658" t="s">
        <v>699</v>
      </c>
      <c r="I1658" t="s">
        <v>700</v>
      </c>
      <c r="J1658">
        <v>80</v>
      </c>
      <c r="K1658">
        <v>0</v>
      </c>
      <c r="L1658" s="39">
        <f t="shared" si="126"/>
        <v>0</v>
      </c>
      <c r="M1658" s="39">
        <f t="shared" si="127"/>
        <v>0</v>
      </c>
      <c r="N1658" t="s">
        <v>25</v>
      </c>
      <c r="O1658" t="s">
        <v>25</v>
      </c>
      <c r="P1658">
        <v>0</v>
      </c>
      <c r="Q1658">
        <v>0</v>
      </c>
      <c r="R1658" t="s">
        <v>3236</v>
      </c>
    </row>
    <row r="1659" spans="1:18" x14ac:dyDescent="0.3">
      <c r="A1659">
        <v>554</v>
      </c>
      <c r="B1659" t="s">
        <v>1502</v>
      </c>
      <c r="C1659" t="s">
        <v>536</v>
      </c>
      <c r="D1659" t="s">
        <v>21</v>
      </c>
      <c r="E1659" t="s">
        <v>22</v>
      </c>
      <c r="F1659" s="79">
        <v>46022</v>
      </c>
      <c r="G1659">
        <v>2025</v>
      </c>
      <c r="H1659" t="s">
        <v>23</v>
      </c>
      <c r="I1659" t="s">
        <v>32</v>
      </c>
      <c r="J1659">
        <v>80</v>
      </c>
      <c r="K1659">
        <v>95</v>
      </c>
      <c r="L1659" s="39">
        <f t="shared" si="126"/>
        <v>1.1875</v>
      </c>
      <c r="M1659" s="39">
        <f t="shared" si="127"/>
        <v>1.1875</v>
      </c>
      <c r="N1659" t="s">
        <v>25</v>
      </c>
      <c r="O1659" t="s">
        <v>25</v>
      </c>
      <c r="P1659">
        <v>0</v>
      </c>
      <c r="Q1659">
        <v>0</v>
      </c>
      <c r="R1659" t="s">
        <v>1503</v>
      </c>
    </row>
    <row r="1660" spans="1:18" x14ac:dyDescent="0.3">
      <c r="A1660">
        <v>555</v>
      </c>
      <c r="B1660" t="s">
        <v>1504</v>
      </c>
      <c r="C1660" t="s">
        <v>1044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32</v>
      </c>
      <c r="J1660">
        <v>80</v>
      </c>
      <c r="K1660">
        <v>100</v>
      </c>
      <c r="L1660" s="39">
        <f t="shared" si="126"/>
        <v>1.25</v>
      </c>
      <c r="M1660" s="39">
        <f t="shared" si="127"/>
        <v>1.25</v>
      </c>
      <c r="N1660" t="s">
        <v>25</v>
      </c>
      <c r="O1660" t="s">
        <v>25</v>
      </c>
      <c r="P1660">
        <v>0</v>
      </c>
      <c r="Q1660">
        <v>0</v>
      </c>
      <c r="R1660" t="s">
        <v>1505</v>
      </c>
    </row>
    <row r="1661" spans="1:18" x14ac:dyDescent="0.3">
      <c r="A1661">
        <v>556</v>
      </c>
      <c r="B1661" t="s">
        <v>1506</v>
      </c>
      <c r="C1661" t="s">
        <v>40</v>
      </c>
      <c r="D1661" t="s">
        <v>71</v>
      </c>
      <c r="E1661" t="s">
        <v>22</v>
      </c>
      <c r="F1661" s="79">
        <v>46022</v>
      </c>
      <c r="G1661">
        <v>2025</v>
      </c>
      <c r="H1661" t="s">
        <v>23</v>
      </c>
      <c r="I1661" t="s">
        <v>32</v>
      </c>
      <c r="J1661">
        <v>70</v>
      </c>
      <c r="K1661">
        <v>113.75</v>
      </c>
      <c r="L1661" s="39">
        <f t="shared" si="126"/>
        <v>1.3</v>
      </c>
      <c r="M1661" s="39">
        <f t="shared" si="127"/>
        <v>1.625</v>
      </c>
      <c r="N1661" t="s">
        <v>25</v>
      </c>
      <c r="O1661" t="s">
        <v>25</v>
      </c>
      <c r="P1661">
        <v>0</v>
      </c>
      <c r="Q1661">
        <v>0</v>
      </c>
      <c r="R1661" t="s">
        <v>1507</v>
      </c>
    </row>
    <row r="1662" spans="1:18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84">
        <v>44742</v>
      </c>
      <c r="G1662" s="15">
        <v>2022</v>
      </c>
      <c r="H1662" s="6" t="s">
        <v>699</v>
      </c>
      <c r="I1662" s="27" t="s">
        <v>1510</v>
      </c>
      <c r="J1662" s="5">
        <v>39623</v>
      </c>
      <c r="K1662" s="5">
        <v>40000</v>
      </c>
      <c r="L1662" s="14">
        <v>1.0095146758195996</v>
      </c>
      <c r="M1662" s="14">
        <v>1.0095146758195996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4381</v>
      </c>
    </row>
    <row r="1663" spans="1:18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84">
        <v>44926</v>
      </c>
      <c r="G1663" s="15">
        <v>2022</v>
      </c>
      <c r="H1663" s="6" t="s">
        <v>23</v>
      </c>
      <c r="I1663" s="27" t="s">
        <v>24</v>
      </c>
      <c r="J1663" s="5">
        <v>39817</v>
      </c>
      <c r="K1663" s="5">
        <v>40663</v>
      </c>
      <c r="L1663" s="14">
        <v>1.0212472059673003</v>
      </c>
      <c r="M1663" s="14">
        <v>1.0212472059673003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4382</v>
      </c>
    </row>
    <row r="1664" spans="1:18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84">
        <v>45107</v>
      </c>
      <c r="G1664" s="15">
        <v>2023</v>
      </c>
      <c r="H1664" s="6" t="s">
        <v>699</v>
      </c>
      <c r="I1664" s="27" t="s">
        <v>1512</v>
      </c>
      <c r="J1664" s="5">
        <v>40047</v>
      </c>
      <c r="K1664" s="3">
        <v>39091</v>
      </c>
      <c r="L1664" s="14">
        <v>0.97612804954178845</v>
      </c>
      <c r="M1664" s="14">
        <v>0.97612804954178845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2492</v>
      </c>
    </row>
    <row r="1665" spans="1:18" x14ac:dyDescent="0.3">
      <c r="A1665" s="5">
        <v>274</v>
      </c>
      <c r="B1665" s="5" t="s">
        <v>648</v>
      </c>
      <c r="C1665" s="5" t="s">
        <v>586</v>
      </c>
      <c r="D1665" s="5" t="s">
        <v>27</v>
      </c>
      <c r="E1665" s="5" t="s">
        <v>22</v>
      </c>
      <c r="F1665" s="6">
        <v>45291</v>
      </c>
      <c r="G1665" s="5">
        <v>2023</v>
      </c>
      <c r="H1665" s="5" t="s">
        <v>23</v>
      </c>
      <c r="I1665" s="6" t="s">
        <v>28</v>
      </c>
      <c r="J1665" s="5">
        <v>41811</v>
      </c>
      <c r="K1665" s="3">
        <v>40771</v>
      </c>
      <c r="L1665" s="14">
        <v>0.97512616297146681</v>
      </c>
      <c r="M1665" s="14">
        <v>0.97512616297146681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649</v>
      </c>
    </row>
    <row r="1666" spans="1:18" x14ac:dyDescent="0.3">
      <c r="A1666" s="5">
        <v>274</v>
      </c>
      <c r="B1666" s="5" t="s">
        <v>648</v>
      </c>
      <c r="C1666" s="5" t="s">
        <v>586</v>
      </c>
      <c r="D1666" s="5" t="s">
        <v>27</v>
      </c>
      <c r="E1666" s="5" t="s">
        <v>22</v>
      </c>
      <c r="F1666" s="6">
        <v>45473</v>
      </c>
      <c r="G1666" s="5">
        <v>2024</v>
      </c>
      <c r="H1666" s="5" t="s">
        <v>699</v>
      </c>
      <c r="I1666" s="6" t="s">
        <v>729</v>
      </c>
      <c r="J1666" s="16">
        <v>38813</v>
      </c>
      <c r="K1666" s="62">
        <v>39598</v>
      </c>
      <c r="L1666" s="14">
        <v>1.0202251822842863</v>
      </c>
      <c r="M1666" s="14">
        <v>1.0202251822842863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2493</v>
      </c>
    </row>
    <row r="1667" spans="1:18" x14ac:dyDescent="0.3">
      <c r="A1667" s="5">
        <v>274</v>
      </c>
      <c r="B1667" s="5" t="s">
        <v>648</v>
      </c>
      <c r="C1667" s="5" t="s">
        <v>586</v>
      </c>
      <c r="D1667" s="5" t="s">
        <v>27</v>
      </c>
      <c r="E1667" s="5" t="s">
        <v>22</v>
      </c>
      <c r="F1667" s="6">
        <v>45657</v>
      </c>
      <c r="G1667" s="5">
        <v>2024</v>
      </c>
      <c r="H1667" s="5" t="s">
        <v>23</v>
      </c>
      <c r="I1667" s="6" t="s">
        <v>30</v>
      </c>
      <c r="J1667" s="5">
        <v>40441</v>
      </c>
      <c r="K1667" s="3">
        <v>41436</v>
      </c>
      <c r="L1667" s="14">
        <v>1.0246037437254272</v>
      </c>
      <c r="M1667" s="14">
        <v>1.0246037437254272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650</v>
      </c>
    </row>
    <row r="1668" spans="1:18" x14ac:dyDescent="0.3">
      <c r="A1668" s="5">
        <v>274</v>
      </c>
      <c r="B1668" s="5" t="s">
        <v>648</v>
      </c>
      <c r="C1668" s="5" t="s">
        <v>586</v>
      </c>
      <c r="D1668" s="5" t="s">
        <v>27</v>
      </c>
      <c r="E1668" s="5" t="s">
        <v>22</v>
      </c>
      <c r="F1668" s="6">
        <v>45838</v>
      </c>
      <c r="G1668" s="5">
        <v>2025</v>
      </c>
      <c r="H1668" s="5" t="s">
        <v>699</v>
      </c>
      <c r="I1668" s="6" t="s">
        <v>700</v>
      </c>
      <c r="J1668" s="83">
        <v>40026</v>
      </c>
      <c r="K1668" s="51">
        <v>42364</v>
      </c>
      <c r="L1668" s="14">
        <v>1.0584120321790835</v>
      </c>
      <c r="M1668" s="14">
        <v>1.0584120321790835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2494</v>
      </c>
    </row>
    <row r="1669" spans="1:18" x14ac:dyDescent="0.3">
      <c r="A1669" s="5">
        <v>274</v>
      </c>
      <c r="B1669" s="5" t="s">
        <v>648</v>
      </c>
      <c r="C1669" s="5" t="s">
        <v>586</v>
      </c>
      <c r="D1669" s="5" t="s">
        <v>27</v>
      </c>
      <c r="E1669" s="5" t="s">
        <v>22</v>
      </c>
      <c r="F1669" s="6">
        <v>46022</v>
      </c>
      <c r="G1669" s="5">
        <v>2025</v>
      </c>
      <c r="H1669" s="5" t="s">
        <v>23</v>
      </c>
      <c r="I1669" s="6" t="s">
        <v>32</v>
      </c>
      <c r="J1669" s="85">
        <v>44737</v>
      </c>
      <c r="K1669" s="9">
        <v>45583</v>
      </c>
      <c r="L1669" s="14">
        <v>1.0189105214922771</v>
      </c>
      <c r="M1669" s="14">
        <v>1.0189105214922771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651</v>
      </c>
    </row>
    <row r="1670" spans="1:18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84">
        <v>44742</v>
      </c>
      <c r="G1670" s="15">
        <v>2022</v>
      </c>
      <c r="H1670" s="6" t="s">
        <v>699</v>
      </c>
      <c r="I1670" s="27" t="s">
        <v>1510</v>
      </c>
      <c r="J1670" s="23">
        <v>10808</v>
      </c>
      <c r="K1670" s="23">
        <v>11013</v>
      </c>
      <c r="L1670" s="14">
        <v>1.0189674315321984</v>
      </c>
      <c r="M1670" s="14">
        <v>1.0189674315321984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4383</v>
      </c>
    </row>
    <row r="1671" spans="1:18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84">
        <v>44926</v>
      </c>
      <c r="G1671" s="15">
        <v>2022</v>
      </c>
      <c r="H1671" s="6" t="s">
        <v>23</v>
      </c>
      <c r="I1671" s="27" t="s">
        <v>24</v>
      </c>
      <c r="J1671" s="23">
        <v>9192</v>
      </c>
      <c r="K1671" s="23">
        <v>9678</v>
      </c>
      <c r="L1671" s="14">
        <v>1.0528720626631853</v>
      </c>
      <c r="M1671" s="14">
        <v>1.0528720626631853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4384</v>
      </c>
    </row>
    <row r="1672" spans="1:18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84">
        <v>45107</v>
      </c>
      <c r="G1672" s="15">
        <v>2023</v>
      </c>
      <c r="H1672" s="6" t="s">
        <v>699</v>
      </c>
      <c r="I1672" s="27" t="s">
        <v>1512</v>
      </c>
      <c r="J1672" s="23">
        <v>12130</v>
      </c>
      <c r="K1672" s="23">
        <v>12382</v>
      </c>
      <c r="L1672" s="14">
        <v>1.0207749381698268</v>
      </c>
      <c r="M1672" s="14">
        <v>1.0207749381698268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2778</v>
      </c>
    </row>
    <row r="1673" spans="1:18" x14ac:dyDescent="0.3">
      <c r="A1673" s="26">
        <v>379</v>
      </c>
      <c r="B1673" s="5" t="s">
        <v>1019</v>
      </c>
      <c r="C1673" s="5" t="s">
        <v>1020</v>
      </c>
      <c r="D1673" s="5" t="s">
        <v>27</v>
      </c>
      <c r="E1673" s="5" t="s">
        <v>22</v>
      </c>
      <c r="F1673" s="6">
        <v>45291</v>
      </c>
      <c r="G1673" s="5">
        <v>2023</v>
      </c>
      <c r="H1673" s="5" t="s">
        <v>23</v>
      </c>
      <c r="I1673" s="6" t="s">
        <v>28</v>
      </c>
      <c r="J1673" s="9">
        <v>9876</v>
      </c>
      <c r="K1673" s="9">
        <v>10604</v>
      </c>
      <c r="L1673" s="14">
        <v>1.0737140542729851</v>
      </c>
      <c r="M1673" s="14">
        <v>1.0737140542729851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1021</v>
      </c>
    </row>
    <row r="1674" spans="1:18" x14ac:dyDescent="0.3">
      <c r="A1674" s="5">
        <v>379</v>
      </c>
      <c r="B1674" s="5" t="s">
        <v>1019</v>
      </c>
      <c r="C1674" s="5" t="s">
        <v>1020</v>
      </c>
      <c r="D1674" s="5" t="s">
        <v>27</v>
      </c>
      <c r="E1674" s="5" t="s">
        <v>22</v>
      </c>
      <c r="F1674" s="6">
        <v>45473</v>
      </c>
      <c r="G1674" s="5">
        <v>2024</v>
      </c>
      <c r="H1674" s="5" t="s">
        <v>699</v>
      </c>
      <c r="I1674" s="6" t="s">
        <v>729</v>
      </c>
      <c r="J1674" s="9">
        <v>13590</v>
      </c>
      <c r="K1674" s="9">
        <v>12987</v>
      </c>
      <c r="L1674" s="14">
        <v>0.95562913907284763</v>
      </c>
      <c r="M1674" s="14">
        <v>0.95562913907284763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2779</v>
      </c>
    </row>
    <row r="1675" spans="1:18" x14ac:dyDescent="0.3">
      <c r="A1675" s="5">
        <v>379</v>
      </c>
      <c r="B1675" s="5" t="s">
        <v>1019</v>
      </c>
      <c r="C1675" s="5" t="s">
        <v>1020</v>
      </c>
      <c r="D1675" s="5" t="s">
        <v>27</v>
      </c>
      <c r="E1675" s="5" t="s">
        <v>22</v>
      </c>
      <c r="F1675" s="6">
        <v>45657</v>
      </c>
      <c r="G1675" s="5">
        <v>2024</v>
      </c>
      <c r="H1675" s="5" t="s">
        <v>23</v>
      </c>
      <c r="I1675" s="6" t="s">
        <v>30</v>
      </c>
      <c r="J1675" s="9">
        <v>10675</v>
      </c>
      <c r="K1675" s="9">
        <v>10569</v>
      </c>
      <c r="L1675" s="14">
        <v>0.99007025761124123</v>
      </c>
      <c r="M1675" s="14">
        <v>0.99007025761124123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1022</v>
      </c>
    </row>
    <row r="1676" spans="1:18" x14ac:dyDescent="0.3">
      <c r="A1676" s="5">
        <v>379</v>
      </c>
      <c r="B1676" s="5" t="s">
        <v>1019</v>
      </c>
      <c r="C1676" s="5" t="s">
        <v>1020</v>
      </c>
      <c r="D1676" s="5" t="s">
        <v>27</v>
      </c>
      <c r="E1676" s="5" t="s">
        <v>22</v>
      </c>
      <c r="F1676" s="6">
        <v>45838</v>
      </c>
      <c r="G1676" s="5">
        <v>2025</v>
      </c>
      <c r="H1676" s="5" t="s">
        <v>699</v>
      </c>
      <c r="I1676" s="6" t="s">
        <v>700</v>
      </c>
      <c r="J1676" s="5">
        <v>13609</v>
      </c>
      <c r="K1676" s="5">
        <v>14141</v>
      </c>
      <c r="L1676" s="14">
        <v>1.0390917775001838</v>
      </c>
      <c r="M1676" s="14">
        <v>1.0390917775001838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2780</v>
      </c>
    </row>
    <row r="1677" spans="1:18" x14ac:dyDescent="0.3">
      <c r="A1677" s="5">
        <v>379</v>
      </c>
      <c r="B1677" s="5" t="s">
        <v>1019</v>
      </c>
      <c r="C1677" s="5" t="s">
        <v>1020</v>
      </c>
      <c r="D1677" s="5" t="s">
        <v>27</v>
      </c>
      <c r="E1677" s="5" t="s">
        <v>22</v>
      </c>
      <c r="F1677" s="6">
        <v>46022</v>
      </c>
      <c r="G1677" s="5">
        <v>2025</v>
      </c>
      <c r="H1677" s="5" t="s">
        <v>23</v>
      </c>
      <c r="I1677" s="6" t="s">
        <v>32</v>
      </c>
      <c r="J1677" s="5">
        <v>11018</v>
      </c>
      <c r="K1677" s="5">
        <v>11224</v>
      </c>
      <c r="L1677" s="14">
        <v>1.018696678163006</v>
      </c>
      <c r="M1677" s="14">
        <v>1.018696678163006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1023</v>
      </c>
    </row>
    <row r="1678" spans="1:18" x14ac:dyDescent="0.3">
      <c r="A1678" s="5">
        <v>14</v>
      </c>
      <c r="B1678" s="5" t="s">
        <v>4385</v>
      </c>
      <c r="C1678" s="5" t="s">
        <v>333</v>
      </c>
      <c r="D1678" s="5" t="s">
        <v>27</v>
      </c>
      <c r="E1678" s="5" t="s">
        <v>22</v>
      </c>
      <c r="F1678" s="6">
        <v>44742</v>
      </c>
      <c r="G1678" s="15">
        <v>2022</v>
      </c>
      <c r="H1678" s="6" t="s">
        <v>699</v>
      </c>
      <c r="I1678" s="27" t="s">
        <v>1510</v>
      </c>
      <c r="J1678" s="9">
        <v>49004</v>
      </c>
      <c r="K1678" s="86">
        <v>51012</v>
      </c>
      <c r="L1678" s="14">
        <v>1.040976246836993</v>
      </c>
      <c r="M1678" s="14">
        <v>1.040976246836993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4392</v>
      </c>
    </row>
    <row r="1679" spans="1:18" x14ac:dyDescent="0.3">
      <c r="A1679" s="5">
        <v>14</v>
      </c>
      <c r="B1679" s="5" t="s">
        <v>4385</v>
      </c>
      <c r="C1679" s="5" t="s">
        <v>333</v>
      </c>
      <c r="D1679" s="5" t="s">
        <v>27</v>
      </c>
      <c r="E1679" s="5" t="s">
        <v>22</v>
      </c>
      <c r="F1679" s="84">
        <v>44926</v>
      </c>
      <c r="G1679" s="15">
        <v>2022</v>
      </c>
      <c r="H1679" s="6" t="s">
        <v>23</v>
      </c>
      <c r="I1679" s="27" t="s">
        <v>24</v>
      </c>
      <c r="J1679" s="9">
        <v>50430</v>
      </c>
      <c r="K1679" s="9">
        <v>50241</v>
      </c>
      <c r="L1679" s="14">
        <v>0.99625223081499104</v>
      </c>
      <c r="M1679" s="14">
        <v>0.99625223081499104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4386</v>
      </c>
    </row>
    <row r="1680" spans="1:18" x14ac:dyDescent="0.3">
      <c r="A1680" s="5">
        <v>14</v>
      </c>
      <c r="B1680" s="5" t="s">
        <v>4385</v>
      </c>
      <c r="C1680" s="5" t="s">
        <v>333</v>
      </c>
      <c r="D1680" s="5" t="s">
        <v>27</v>
      </c>
      <c r="E1680" s="5" t="s">
        <v>22</v>
      </c>
      <c r="F1680" s="6">
        <v>45107</v>
      </c>
      <c r="G1680" s="15">
        <v>2023</v>
      </c>
      <c r="H1680" s="6" t="s">
        <v>699</v>
      </c>
      <c r="I1680" s="27" t="s">
        <v>1512</v>
      </c>
      <c r="J1680" s="9">
        <v>52177</v>
      </c>
      <c r="K1680" s="9">
        <v>51473</v>
      </c>
      <c r="L1680" s="14">
        <v>0.98650746497498898</v>
      </c>
      <c r="M1680" s="14">
        <v>0.98650746497498898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4393</v>
      </c>
    </row>
    <row r="1681" spans="1:18" x14ac:dyDescent="0.3">
      <c r="A1681" s="5">
        <v>14</v>
      </c>
      <c r="B1681" s="5" t="s">
        <v>4385</v>
      </c>
      <c r="C1681" s="5" t="s">
        <v>333</v>
      </c>
      <c r="D1681" s="5" t="s">
        <v>27</v>
      </c>
      <c r="E1681" s="5" t="s">
        <v>22</v>
      </c>
      <c r="F1681" s="6">
        <v>45291</v>
      </c>
      <c r="G1681" s="15">
        <v>2023</v>
      </c>
      <c r="H1681" s="6" t="s">
        <v>23</v>
      </c>
      <c r="I1681" s="27" t="s">
        <v>28</v>
      </c>
      <c r="J1681" s="9">
        <v>51687</v>
      </c>
      <c r="K1681" s="9">
        <v>51375</v>
      </c>
      <c r="L1681" s="14">
        <v>0.99396366591212493</v>
      </c>
      <c r="M1681" s="14">
        <v>0.99396366591212493</v>
      </c>
      <c r="N1681" s="5" t="s">
        <v>128</v>
      </c>
      <c r="O1681" s="5" t="s">
        <v>128</v>
      </c>
      <c r="P1681" s="5">
        <v>0</v>
      </c>
      <c r="Q1681" s="5">
        <v>0</v>
      </c>
      <c r="R1681" s="5" t="s">
        <v>4387</v>
      </c>
    </row>
    <row r="1682" spans="1:18" x14ac:dyDescent="0.3">
      <c r="A1682" s="5">
        <v>14</v>
      </c>
      <c r="B1682" s="5" t="s">
        <v>4385</v>
      </c>
      <c r="C1682" s="5" t="s">
        <v>333</v>
      </c>
      <c r="D1682" s="5" t="s">
        <v>27</v>
      </c>
      <c r="E1682" s="5" t="s">
        <v>22</v>
      </c>
      <c r="F1682" s="6">
        <v>45473</v>
      </c>
      <c r="G1682" s="5">
        <v>2024</v>
      </c>
      <c r="H1682" s="5" t="s">
        <v>699</v>
      </c>
      <c r="I1682" s="6" t="s">
        <v>729</v>
      </c>
      <c r="J1682" s="9">
        <v>52403.186118801452</v>
      </c>
      <c r="K1682" s="9">
        <v>52585</v>
      </c>
      <c r="L1682" s="14">
        <v>1.0034695195972696</v>
      </c>
      <c r="M1682" s="14">
        <v>1.0034695195972696</v>
      </c>
      <c r="N1682" s="5" t="s">
        <v>128</v>
      </c>
      <c r="O1682" s="5" t="s">
        <v>128</v>
      </c>
      <c r="P1682" s="5">
        <v>0</v>
      </c>
      <c r="Q1682" s="5">
        <v>0</v>
      </c>
      <c r="R1682" s="5" t="s">
        <v>4394</v>
      </c>
    </row>
    <row r="1683" spans="1:18" x14ac:dyDescent="0.3">
      <c r="A1683" s="5">
        <v>14</v>
      </c>
      <c r="B1683" s="5" t="s">
        <v>4385</v>
      </c>
      <c r="C1683" s="5" t="s">
        <v>333</v>
      </c>
      <c r="D1683" s="5" t="s">
        <v>27</v>
      </c>
      <c r="E1683" s="5" t="s">
        <v>22</v>
      </c>
      <c r="F1683" s="6">
        <v>45657</v>
      </c>
      <c r="G1683" s="5">
        <v>2024</v>
      </c>
      <c r="H1683" s="5" t="s">
        <v>23</v>
      </c>
      <c r="I1683" s="6" t="s">
        <v>30</v>
      </c>
      <c r="J1683" s="83">
        <v>51116.334115206948</v>
      </c>
      <c r="K1683" s="9">
        <v>52005</v>
      </c>
      <c r="L1683" s="14">
        <v>1.0173851646479608</v>
      </c>
      <c r="M1683" s="14">
        <v>1.0173851646479608</v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4388</v>
      </c>
    </row>
    <row r="1684" spans="1:18" x14ac:dyDescent="0.3">
      <c r="A1684" s="5">
        <v>14</v>
      </c>
      <c r="B1684" s="5" t="s">
        <v>4385</v>
      </c>
      <c r="C1684" s="5" t="s">
        <v>333</v>
      </c>
      <c r="D1684" s="5" t="s">
        <v>27</v>
      </c>
      <c r="E1684" s="5" t="s">
        <v>22</v>
      </c>
      <c r="F1684" s="6">
        <v>45838</v>
      </c>
      <c r="G1684" s="5">
        <v>2025</v>
      </c>
      <c r="H1684" s="5" t="s">
        <v>699</v>
      </c>
      <c r="I1684" s="6" t="s">
        <v>700</v>
      </c>
      <c r="J1684" s="9">
        <v>53635</v>
      </c>
      <c r="K1684" s="9">
        <v>56505</v>
      </c>
      <c r="L1684" s="14">
        <v>1.053509834995805</v>
      </c>
      <c r="M1684" s="14">
        <v>1.053509834995805</v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4395</v>
      </c>
    </row>
    <row r="1685" spans="1:18" x14ac:dyDescent="0.3">
      <c r="A1685" s="5">
        <v>14</v>
      </c>
      <c r="B1685" s="5" t="s">
        <v>4385</v>
      </c>
      <c r="C1685" s="5" t="s">
        <v>333</v>
      </c>
      <c r="D1685" s="5" t="s">
        <v>27</v>
      </c>
      <c r="E1685" s="5" t="s">
        <v>22</v>
      </c>
      <c r="F1685" s="6">
        <v>46022</v>
      </c>
      <c r="G1685" s="5">
        <v>2025</v>
      </c>
      <c r="H1685" s="5" t="s">
        <v>23</v>
      </c>
      <c r="I1685" s="6" t="s">
        <v>32</v>
      </c>
      <c r="J1685" s="83">
        <v>55756</v>
      </c>
      <c r="K1685" s="9">
        <v>56807</v>
      </c>
      <c r="L1685" s="14">
        <v>1.0188499892388263</v>
      </c>
      <c r="M1685" s="14">
        <v>1.0188499892388263</v>
      </c>
      <c r="N1685" s="5" t="s">
        <v>128</v>
      </c>
      <c r="O1685" s="5" t="s">
        <v>128</v>
      </c>
      <c r="P1685" s="5">
        <v>0</v>
      </c>
      <c r="Q1685" s="5">
        <v>0</v>
      </c>
      <c r="R1685" s="5" t="s">
        <v>4391</v>
      </c>
    </row>
  </sheetData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40">
    <cfRule type="duplicateValues" dxfId="113" priority="4"/>
    <cfRule type="duplicateValues" dxfId="112" priority="5"/>
  </conditionalFormatting>
  <conditionalFormatting sqref="A1546:A1547">
    <cfRule type="duplicateValues" dxfId="111" priority="3"/>
  </conditionalFormatting>
  <conditionalFormatting sqref="A1678:A1683">
    <cfRule type="duplicateValues" dxfId="110" priority="2"/>
  </conditionalFormatting>
  <conditionalFormatting sqref="A1684:A1685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topLeftCell="A970" zoomScaleNormal="100" workbookViewId="0">
      <selection activeCell="A993" sqref="A993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 s="5">
        <v>73.961666666667497</v>
      </c>
      <c r="L659" s="14">
        <f>IFERROR(IF(OR(J659=0,K659=""),"",IF(E659="Positivo",MIN(MAX(K659/J659,0),1),MIN(MAX(J659/K659,0),1))),"")</f>
        <v>0.73961666666667503</v>
      </c>
      <c r="M659" s="14">
        <f t="shared" si="63"/>
        <v>0.73961666666667503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1</v>
      </c>
      <c r="K797">
        <v>18.11</v>
      </c>
      <c r="L797" s="39">
        <f t="shared" si="76"/>
        <v>5.5218111540585313E-2</v>
      </c>
      <c r="M797" s="39">
        <f t="shared" si="77"/>
        <v>5.5218111540585313E-2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1</v>
      </c>
      <c r="K798">
        <v>17.555</v>
      </c>
      <c r="L798" s="39">
        <f t="shared" si="76"/>
        <v>5.6963827969239531E-2</v>
      </c>
      <c r="M798" s="39">
        <f t="shared" si="77"/>
        <v>5.6963827969239531E-2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1</v>
      </c>
      <c r="K799">
        <v>16.5</v>
      </c>
      <c r="L799" s="39">
        <f t="shared" si="76"/>
        <v>6.0606060606060608E-2</v>
      </c>
      <c r="M799" s="39">
        <f t="shared" si="77"/>
        <v>6.0606060606060608E-2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300</v>
      </c>
      <c r="K851">
        <v>640</v>
      </c>
      <c r="L851" s="39">
        <f t="shared" si="80"/>
        <v>1.3</v>
      </c>
      <c r="M851" s="39">
        <f t="shared" si="81"/>
        <v>2.1333333333333333</v>
      </c>
      <c r="N851" t="s">
        <v>25</v>
      </c>
      <c r="O851" t="s">
        <v>25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400</v>
      </c>
      <c r="K852">
        <v>348</v>
      </c>
      <c r="L852" s="39">
        <f t="shared" si="80"/>
        <v>0.87</v>
      </c>
      <c r="M852" s="39">
        <f t="shared" si="81"/>
        <v>0.87</v>
      </c>
      <c r="N852" t="s">
        <v>25</v>
      </c>
      <c r="O852" t="s">
        <v>25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113.4</v>
      </c>
      <c r="L866" s="39">
        <f t="shared" si="82"/>
        <v>1.1340000000000001</v>
      </c>
      <c r="M866" s="39">
        <f t="shared" si="83"/>
        <v>1.1340000000000001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100</v>
      </c>
      <c r="K867">
        <v>106.55</v>
      </c>
      <c r="L867" s="39">
        <f t="shared" si="82"/>
        <v>1.0654999999999999</v>
      </c>
      <c r="M867" s="39">
        <f t="shared" si="83"/>
        <v>1.0654999999999999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200</v>
      </c>
      <c r="K883">
        <v>140</v>
      </c>
      <c r="L883" s="39">
        <f t="shared" ref="L883:L888" si="85">IFERROR(IF(OR(J883=0,K883=""),"",IF(E883="Positivo",MIN(MAX(K883/J883,0),1.3),MIN(MAX(J883/K883,0),1.3))),"")</f>
        <v>0.7</v>
      </c>
      <c r="M883" s="39">
        <f t="shared" ref="M883:M888" si="86">IFERROR(IF(OR(J883=0,K883=""),"",IF(E883="Positivo",MAX(K883/J883,0),MAX(J883/K883,0))),"")</f>
        <v>0.7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200</v>
      </c>
      <c r="K884">
        <v>100</v>
      </c>
      <c r="L884" s="39">
        <f t="shared" si="85"/>
        <v>0.5</v>
      </c>
      <c r="M884" s="39">
        <f t="shared" si="86"/>
        <v>0.5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8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8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8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8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8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8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8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8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8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8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8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8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45930</v>
      </c>
      <c r="G956">
        <v>2025</v>
      </c>
      <c r="H956" t="s">
        <v>162</v>
      </c>
      <c r="I956" t="s">
        <v>32</v>
      </c>
      <c r="J956">
        <v>95</v>
      </c>
      <c r="K956">
        <v>96.6</v>
      </c>
      <c r="L956" s="39">
        <f t="shared" si="91"/>
        <v>1.0168421052631578</v>
      </c>
      <c r="M956" s="39">
        <f t="shared" si="92"/>
        <v>1.0168421052631578</v>
      </c>
      <c r="N956" t="s">
        <v>25</v>
      </c>
      <c r="O956" t="s">
        <v>25</v>
      </c>
      <c r="P956">
        <v>0</v>
      </c>
      <c r="Q956">
        <v>0</v>
      </c>
      <c r="R956" t="s">
        <v>1453</v>
      </c>
    </row>
    <row r="957" spans="1:18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8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8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8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4384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4385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4386</v>
      </c>
    </row>
    <row r="989" spans="1:18" x14ac:dyDescent="0.3">
      <c r="A989" s="5">
        <v>14</v>
      </c>
      <c r="B989" s="5" t="s">
        <v>4385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4387</v>
      </c>
    </row>
    <row r="990" spans="1:18" x14ac:dyDescent="0.3">
      <c r="A990" s="5">
        <v>14</v>
      </c>
      <c r="B990" s="5" t="s">
        <v>4385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4388</v>
      </c>
    </row>
    <row r="991" spans="1:18" x14ac:dyDescent="0.3">
      <c r="A991" s="5">
        <v>14</v>
      </c>
      <c r="B991" s="5" t="s">
        <v>4385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4389</v>
      </c>
      <c r="H991" s="6" t="s">
        <v>4389</v>
      </c>
      <c r="I991" s="6" t="s">
        <v>4389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4390</v>
      </c>
    </row>
    <row r="992" spans="1:18" x14ac:dyDescent="0.3">
      <c r="A992" s="5">
        <v>14</v>
      </c>
      <c r="B992" s="5" t="s">
        <v>4385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4391</v>
      </c>
    </row>
  </sheetData>
  <conditionalFormatting sqref="A22">
    <cfRule type="duplicateValues" dxfId="108" priority="189"/>
    <cfRule type="duplicateValues" dxfId="107" priority="190"/>
    <cfRule type="duplicateValues" dxfId="106" priority="188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6"/>
    <cfRule type="duplicateValues" dxfId="102" priority="165"/>
    <cfRule type="duplicateValues" dxfId="101" priority="164"/>
  </conditionalFormatting>
  <conditionalFormatting sqref="A908:A916">
    <cfRule type="duplicateValues" dxfId="100" priority="162"/>
  </conditionalFormatting>
  <conditionalFormatting sqref="A956">
    <cfRule type="duplicateValues" dxfId="99" priority="149"/>
    <cfRule type="duplicateValues" dxfId="98" priority="148"/>
  </conditionalFormatting>
  <conditionalFormatting sqref="A1001">
    <cfRule type="duplicateValues" dxfId="97" priority="144"/>
    <cfRule type="duplicateValues" dxfId="96" priority="142"/>
    <cfRule type="duplicateValues" dxfId="95" priority="146"/>
    <cfRule type="duplicateValues" dxfId="94" priority="145"/>
  </conditionalFormatting>
  <conditionalFormatting sqref="A1002">
    <cfRule type="duplicateValues" dxfId="93" priority="136"/>
    <cfRule type="duplicateValues" dxfId="92" priority="139"/>
    <cfRule type="duplicateValues" dxfId="91" priority="140"/>
    <cfRule type="duplicateValues" dxfId="90" priority="138"/>
  </conditionalFormatting>
  <conditionalFormatting sqref="A1003">
    <cfRule type="duplicateValues" dxfId="89" priority="133"/>
    <cfRule type="duplicateValues" dxfId="88" priority="134"/>
    <cfRule type="duplicateValues" dxfId="87" priority="132"/>
    <cfRule type="duplicateValues" dxfId="86" priority="130"/>
  </conditionalFormatting>
  <conditionalFormatting sqref="A1004">
    <cfRule type="duplicateValues" dxfId="85" priority="128"/>
    <cfRule type="duplicateValues" dxfId="84" priority="127"/>
    <cfRule type="duplicateValues" dxfId="83" priority="126"/>
    <cfRule type="duplicateValues" dxfId="82" priority="124"/>
  </conditionalFormatting>
  <conditionalFormatting sqref="A1005">
    <cfRule type="duplicateValues" dxfId="81" priority="120"/>
    <cfRule type="duplicateValues" dxfId="80" priority="122"/>
    <cfRule type="duplicateValues" dxfId="79" priority="121"/>
    <cfRule type="duplicateValues" dxfId="78" priority="118"/>
  </conditionalFormatting>
  <conditionalFormatting sqref="A1006">
    <cfRule type="duplicateValues" dxfId="77" priority="114"/>
    <cfRule type="duplicateValues" dxfId="76" priority="115"/>
    <cfRule type="duplicateValues" dxfId="75" priority="116"/>
    <cfRule type="duplicateValues" dxfId="74" priority="112"/>
  </conditionalFormatting>
  <conditionalFormatting sqref="A1007">
    <cfRule type="duplicateValues" dxfId="73" priority="100"/>
    <cfRule type="duplicateValues" dxfId="72" priority="102"/>
    <cfRule type="duplicateValues" dxfId="71" priority="104"/>
    <cfRule type="duplicateValues" dxfId="70" priority="103"/>
  </conditionalFormatting>
  <conditionalFormatting sqref="A1008">
    <cfRule type="duplicateValues" dxfId="69" priority="97"/>
    <cfRule type="duplicateValues" dxfId="68" priority="96"/>
    <cfRule type="duplicateValues" dxfId="67" priority="94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6"/>
    <cfRule type="duplicateValues" dxfId="62" priority="85"/>
  </conditionalFormatting>
  <conditionalFormatting sqref="A1010">
    <cfRule type="duplicateValues" dxfId="61" priority="196"/>
    <cfRule type="duplicateValues" dxfId="60" priority="193"/>
    <cfRule type="duplicateValues" dxfId="59" priority="195"/>
    <cfRule type="duplicateValues" dxfId="58" priority="194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6"/>
    <cfRule type="duplicateValues" dxfId="52" priority="22"/>
    <cfRule type="duplicateValues" dxfId="51" priority="24"/>
    <cfRule type="duplicateValues" dxfId="50" priority="25"/>
  </conditionalFormatting>
  <conditionalFormatting sqref="A1075">
    <cfRule type="duplicateValues" dxfId="49" priority="15"/>
    <cfRule type="duplicateValues" dxfId="48" priority="16"/>
    <cfRule type="duplicateValues" dxfId="47" priority="14"/>
  </conditionalFormatting>
  <conditionalFormatting sqref="A1144">
    <cfRule type="duplicateValues" dxfId="46" priority="13"/>
    <cfRule type="duplicateValues" dxfId="45" priority="12"/>
    <cfRule type="duplicateValues" dxfId="44" priority="11"/>
    <cfRule type="duplicateValues" dxfId="43" priority="10"/>
  </conditionalFormatting>
  <conditionalFormatting sqref="A1171">
    <cfRule type="duplicateValues" dxfId="42" priority="5"/>
    <cfRule type="duplicateValues" dxfId="41" priority="7"/>
    <cfRule type="duplicateValues" dxfId="40" priority="6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9"/>
    <cfRule type="duplicateValues" dxfId="34" priority="78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9"/>
    <cfRule type="duplicateValues" dxfId="28" priority="38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2"/>
    <cfRule type="duplicateValues" dxfId="24" priority="1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41"/>
    <cfRule type="duplicateValues" dxfId="20" priority="137"/>
  </conditionalFormatting>
  <conditionalFormatting sqref="B1003">
    <cfRule type="duplicateValues" dxfId="19" priority="135"/>
    <cfRule type="duplicateValues" dxfId="18" priority="131"/>
  </conditionalFormatting>
  <conditionalFormatting sqref="B1004">
    <cfRule type="duplicateValues" dxfId="17" priority="129"/>
    <cfRule type="duplicateValues" dxfId="16" priority="125"/>
  </conditionalFormatting>
  <conditionalFormatting sqref="B1005">
    <cfRule type="duplicateValues" dxfId="15" priority="123"/>
    <cfRule type="duplicateValues" dxfId="14" priority="119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7"/>
    <cfRule type="duplicateValues" dxfId="2" priority="23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0" t="s">
        <v>3269</v>
      </c>
      <c r="D1" s="91"/>
      <c r="E1" s="91"/>
      <c r="F1" s="91"/>
      <c r="H1" s="92" t="s">
        <v>3270</v>
      </c>
      <c r="I1" s="93"/>
      <c r="J1" s="93"/>
      <c r="K1" s="94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7" t="s">
        <v>3278</v>
      </c>
      <c r="B3" s="87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8"/>
      <c r="B4" s="88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8"/>
      <c r="B5" s="89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8"/>
      <c r="B6" s="87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8"/>
      <c r="B7" s="89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8"/>
      <c r="B8" s="87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89"/>
      <c r="B9" s="89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2026-04-17T00:31:50Z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