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Sistema_Indicadores_Poli/data/raw/Monitoreo/"/>
    </mc:Choice>
  </mc:AlternateContent>
  <xr:revisionPtr revIDLastSave="3" documentId="8_{3B010AB4-EA7A-4356-A875-E586F211D7AE}" xr6:coauthVersionLast="47" xr6:coauthVersionMax="47" xr10:uidLastSave="{08B85D3E-46D8-4473-A4D3-6DAF5D427BF4}"/>
  <bookViews>
    <workbookView xWindow="-108" yWindow="-108" windowWidth="23256" windowHeight="12456" firstSheet="1" activeTab="2" xr2:uid="{00000000-000D-0000-FFFF-FFFF00000000}"/>
  </bookViews>
  <sheets>
    <sheet name="INSTRUCCIONES" sheetId="1" r:id="rId1"/>
    <sheet name="PORTADA PERÍODO" sheetId="2" r:id="rId2"/>
    <sheet name="LISTA DE CHEQUEO" sheetId="3" r:id="rId3"/>
    <sheet name="CONSOLIDADO" sheetId="11" r:id="rId4"/>
    <sheet name="CRITERIOS DE VERIFICACIÓN" sheetId="4" r:id="rId5"/>
    <sheet name="RESUMEN" sheetId="5" r:id="rId6"/>
    <sheet name="HALLAZGOS Y ACCIONES" sheetId="6" r:id="rId7"/>
    <sheet name="HISTÓRICO" sheetId="7" r:id="rId8"/>
    <sheet name="PROCESO" sheetId="12" r:id="rId9"/>
    <sheet name="TB_CONTENIDO" sheetId="9" r:id="rId10"/>
  </sheets>
  <externalReferences>
    <externalReference r:id="rId11"/>
  </externalReferences>
  <definedNames>
    <definedName name="_xlnm._FilterDatabase" localSheetId="3" hidden="1">CONSOLIDADO!$A$84:$A$109</definedName>
    <definedName name="_xlnm._FilterDatabase" localSheetId="2" hidden="1">'LISTA DE CHEQUEO'!$A$5:$Q$118</definedName>
    <definedName name="_xlnm._FilterDatabase" localSheetId="8" hidden="1">PROCESO!$A$1:$D$53</definedName>
    <definedName name="_Hlk160088037" localSheetId="9">TB_CONTENIDO!$A$157</definedName>
    <definedName name="_Hlk219801894" localSheetId="9">TB_CONTENIDO!$A$1</definedName>
    <definedName name="_Hlk509415286" localSheetId="9">TB_CONTENIDO!$A$53</definedName>
    <definedName name="_Int_4dZwZgYt" localSheetId="9">TB_CONTENIDO!$A$2023</definedName>
    <definedName name="_Int_bwhai4qf" localSheetId="9">TB_CONTENIDO!$A$1155</definedName>
    <definedName name="_Int_gxGI6NX6" localSheetId="9">TB_CONTENIDO!$A$2024</definedName>
    <definedName name="_Int_hlT4tKsj" localSheetId="9">TB_CONTENIDO!$A$2025</definedName>
    <definedName name="_Int_NdsI6ssT" localSheetId="9">TB_CONTENIDO!$A$2030</definedName>
    <definedName name="_Int_RgTDtiOI" localSheetId="9">TB_CONTENIDO!$A$2029</definedName>
    <definedName name="_Int_UVNgvkK8" localSheetId="9">TB_CONTENIDO!$A$2028</definedName>
    <definedName name="_Toc140848061" localSheetId="9">TB_CONTENIDO!$A$2584</definedName>
    <definedName name="_Toc156210732" localSheetId="9">TB_CONTENIDO!$A$66</definedName>
    <definedName name="_Toc156210735" localSheetId="9">TB_CONTENIDO!$A$408</definedName>
    <definedName name="_Toc205885636" localSheetId="9">TB_CONTENIDO!$A$628</definedName>
    <definedName name="_Toc205885637" localSheetId="9">TB_CONTENIDO!$A$661</definedName>
    <definedName name="_Toc205885644" localSheetId="9">TB_CONTENIDO!$A$879</definedName>
    <definedName name="_Toc205885646" localSheetId="9">TB_CONTENIDO!$A$886</definedName>
    <definedName name="_Toc205885647" localSheetId="9">TB_CONTENIDO!$A$907</definedName>
    <definedName name="_Toc205885648" localSheetId="9">TB_CONTENIDO!$A$950</definedName>
    <definedName name="_Toc205885649" localSheetId="9">TB_CONTENIDO!$A$1087</definedName>
    <definedName name="_Toc205885655" localSheetId="9">TB_CONTENIDO!$A$1334</definedName>
    <definedName name="_Toc205885662" localSheetId="9">TB_CONTENIDO!$A$1488</definedName>
    <definedName name="_Toc205885669" localSheetId="9">TB_CONTENIDO!$A$1769</definedName>
    <definedName name="_Toc205885682" localSheetId="9">TB_CONTENIDO!$A$1862</definedName>
    <definedName name="_Toc205885692" localSheetId="9">TB_CONTENIDO!$A$2122</definedName>
    <definedName name="_Toc205885693" localSheetId="9">TB_CONTENIDO!$A$2216</definedName>
    <definedName name="_Toc205885704" localSheetId="9">TB_CONTENIDO!$A$2582</definedName>
    <definedName name="_Toc205885705" localSheetId="9">TB_CONTENIDO!$A$2585</definedName>
    <definedName name="_Toc205885706" localSheetId="9">TB_CONTENIDO!$A$2594</definedName>
    <definedName name="_Toc205885707" localSheetId="9">TB_CONTENIDO!$A$2599</definedName>
    <definedName name="_Toc205885709" localSheetId="9">TB_CONTENIDO!$A$2608</definedName>
    <definedName name="_Toc205885714" localSheetId="9">TB_CONTENIDO!$A$2764</definedName>
    <definedName name="_Toc219794295" localSheetId="9">TB_CONTENIDO!$A$108</definedName>
    <definedName name="_Toc219794300" localSheetId="9">TB_CONTENIDO!$A$154</definedName>
    <definedName name="_Toc219794304" localSheetId="9">TB_CONTENIDO!$A$384</definedName>
    <definedName name="_Toc227098835" localSheetId="9">TB_CONTENIDO!$A$55</definedName>
    <definedName name="_Toc227098836" localSheetId="9">TB_CONTENIDO!$A$81</definedName>
    <definedName name="_Toc227098837" localSheetId="9">TB_CONTENIDO!$A$86</definedName>
    <definedName name="_Toc227098838" localSheetId="9">TB_CONTENIDO!$A$89</definedName>
    <definedName name="_Toc227098839" localSheetId="9">TB_CONTENIDO!$A$107</definedName>
    <definedName name="_Toc227098840" localSheetId="9">TB_CONTENIDO!$A$110</definedName>
    <definedName name="_Toc227098841" localSheetId="9">TB_CONTENIDO!$A$121</definedName>
    <definedName name="_Toc227098842" localSheetId="9">TB_CONTENIDO!$A$127</definedName>
    <definedName name="_Toc227098843" localSheetId="9">TB_CONTENIDO!$A$144</definedName>
    <definedName name="_Toc227098844" localSheetId="9">TB_CONTENIDO!$A$150</definedName>
    <definedName name="_Toc227098845" localSheetId="9">TB_CONTENIDO!$A$159</definedName>
    <definedName name="_Toc227098846" localSheetId="9">TB_CONTENIDO!$A$169</definedName>
    <definedName name="_Toc227098847" localSheetId="9">TB_CONTENIDO!$A$188</definedName>
    <definedName name="_Toc227098848" localSheetId="9">TB_CONTENIDO!$A$328</definedName>
    <definedName name="_Toc227098850" localSheetId="9">TB_CONTENIDO!$A$389</definedName>
    <definedName name="_Toc227098851" localSheetId="9">TB_CONTENIDO!$A$392</definedName>
    <definedName name="_Toc227098852" localSheetId="9">TB_CONTENIDO!$A$395</definedName>
    <definedName name="_Toc227098854" localSheetId="9">TB_CONTENIDO!$A$412</definedName>
    <definedName name="_Toc227098855" localSheetId="9">TB_CONTENIDO!$A$416</definedName>
    <definedName name="_Toc227098856" localSheetId="9">TB_CONTENIDO!$A$532</definedName>
    <definedName name="_Toc227098857" localSheetId="9">TB_CONTENIDO!$A$570</definedName>
    <definedName name="_Toc227098858" localSheetId="9">TB_CONTENIDO!$A$575</definedName>
    <definedName name="_Toc227098859" localSheetId="9">TB_CONTENIDO!$A$587</definedName>
    <definedName name="_Toc227098860" localSheetId="9">TB_CONTENIDO!$A$590</definedName>
    <definedName name="_Toc227098861" localSheetId="9">TB_CONTENIDO!$A$593</definedName>
    <definedName name="_Toc227098862" localSheetId="9">TB_CONTENIDO!$A$615</definedName>
    <definedName name="_Toc227098863" localSheetId="9">TB_CONTENIDO!$A$619</definedName>
    <definedName name="_Toc227098864" localSheetId="9">TB_CONTENIDO!$A$632</definedName>
    <definedName name="_Toc227098865" localSheetId="9">TB_CONTENIDO!$A$635</definedName>
    <definedName name="_Toc227098866" localSheetId="9">TB_CONTENIDO!$A$643</definedName>
    <definedName name="_Toc227098867" localSheetId="9">TB_CONTENIDO!$A$652</definedName>
    <definedName name="_Toc227098868" localSheetId="9">TB_CONTENIDO!$A$662</definedName>
    <definedName name="_Toc227098869" localSheetId="9">TB_CONTENIDO!$A$665</definedName>
    <definedName name="_Toc227098870" localSheetId="9">TB_CONTENIDO!$A$762</definedName>
    <definedName name="_Toc227098871" localSheetId="9">TB_CONTENIDO!$A$884</definedName>
    <definedName name="_Toc227098872" localSheetId="9">TB_CONTENIDO!$A$976</definedName>
    <definedName name="_Toc227098873" localSheetId="9">TB_CONTENIDO!$A$1040</definedName>
    <definedName name="_Toc227098874" localSheetId="9">TB_CONTENIDO!$A$1070</definedName>
    <definedName name="_Toc227098875" localSheetId="9">TB_CONTENIDO!$A$1090</definedName>
    <definedName name="_Toc227098876" localSheetId="9">TB_CONTENIDO!$A$1094</definedName>
    <definedName name="_Toc227098877" localSheetId="9">TB_CONTENIDO!$A$1135</definedName>
    <definedName name="_Toc227098878" localSheetId="9">TB_CONTENIDO!$A$1231</definedName>
    <definedName name="_Toc227098879" localSheetId="9">TB_CONTENIDO!$A$1263</definedName>
    <definedName name="_Toc227098880" localSheetId="9">TB_CONTENIDO!$A$1281</definedName>
    <definedName name="_Toc227098881" localSheetId="9">TB_CONTENIDO!$A$1285</definedName>
    <definedName name="_Toc227098882" localSheetId="9">TB_CONTENIDO!$A$1290</definedName>
    <definedName name="_Toc227098883" localSheetId="9">TB_CONTENIDO!$A$1325</definedName>
    <definedName name="_Toc227098884" localSheetId="9">TB_CONTENIDO!$A$1328</definedName>
    <definedName name="_Toc227098885" localSheetId="9">TB_CONTENIDO!$A$1379</definedName>
    <definedName name="_Toc227098886" localSheetId="9">TB_CONTENIDO!$A$1396</definedName>
    <definedName name="_Toc227098887" localSheetId="9">TB_CONTENIDO!$A$1398</definedName>
    <definedName name="_Toc227098888" localSheetId="9">TB_CONTENIDO!$A$1412</definedName>
    <definedName name="_Toc227098889" localSheetId="9">TB_CONTENIDO!$A$1415</definedName>
    <definedName name="_Toc227098890" localSheetId="9">TB_CONTENIDO!$A$1421</definedName>
    <definedName name="_Toc227098891" localSheetId="9">TB_CONTENIDO!$A$1423</definedName>
    <definedName name="_Toc227098892" localSheetId="9">TB_CONTENIDO!$A$1500</definedName>
    <definedName name="_Toc227098893" localSheetId="9">TB_CONTENIDO!$A$1547</definedName>
    <definedName name="_Toc227098894" localSheetId="9">TB_CONTENIDO!$A$1549</definedName>
    <definedName name="_Toc227098895" localSheetId="9">TB_CONTENIDO!$A$1599</definedName>
    <definedName name="_Toc227098896" localSheetId="9">TB_CONTENIDO!$A$1600</definedName>
    <definedName name="_Toc227098897" localSheetId="9">TB_CONTENIDO!$A$1616</definedName>
    <definedName name="_Toc227098898" localSheetId="9">TB_CONTENIDO!$A$1638</definedName>
    <definedName name="_Toc227098899" localSheetId="9">TB_CONTENIDO!$A$1659</definedName>
    <definedName name="_Toc227098900" localSheetId="9">TB_CONTENIDO!$A$1662</definedName>
    <definedName name="_Toc227098901" localSheetId="9">TB_CONTENIDO!$A$1678</definedName>
    <definedName name="_Toc227098902" localSheetId="9">TB_CONTENIDO!$A$1730</definedName>
    <definedName name="_Toc227098904" localSheetId="9">TB_CONTENIDO!$A$1771</definedName>
    <definedName name="_Toc227098905" localSheetId="9">TB_CONTENIDO!$A$1774</definedName>
    <definedName name="_Toc227098906" localSheetId="9">TB_CONTENIDO!$A$1776</definedName>
    <definedName name="_Toc227098907" localSheetId="9">TB_CONTENIDO!$A$1786</definedName>
    <definedName name="_Toc227098908" localSheetId="9">TB_CONTENIDO!$A$1802</definedName>
    <definedName name="_Toc227098909" localSheetId="9">TB_CONTENIDO!$A$1823</definedName>
    <definedName name="_Toc227098910" localSheetId="9">TB_CONTENIDO!$A$1830</definedName>
    <definedName name="_Toc227098911" localSheetId="9">TB_CONTENIDO!$A$1833</definedName>
    <definedName name="_Toc227098912" localSheetId="9">TB_CONTENIDO!$A$1837</definedName>
    <definedName name="_Toc227098913" localSheetId="9">TB_CONTENIDO!$A$1845</definedName>
    <definedName name="_Toc227098914" localSheetId="9">TB_CONTENIDO!$A$1851</definedName>
    <definedName name="_Toc227098915" localSheetId="9">TB_CONTENIDO!$A$1853</definedName>
    <definedName name="_Toc227098916" localSheetId="9">TB_CONTENIDO!$A$1856</definedName>
    <definedName name="_Toc227098917" localSheetId="9">TB_CONTENIDO!$A$1857</definedName>
    <definedName name="_Toc227098919" localSheetId="9">TB_CONTENIDO!$A$1882</definedName>
    <definedName name="_Toc227098920" localSheetId="9">TB_CONTENIDO!$A$1886</definedName>
    <definedName name="_Toc227098921" localSheetId="9">TB_CONTENIDO!$A$1895</definedName>
    <definedName name="_Toc227098922" localSheetId="9">TB_CONTENIDO!$A$1899</definedName>
    <definedName name="_Toc227098923" localSheetId="9">TB_CONTENIDO!$A$1914</definedName>
    <definedName name="_Toc227098924" localSheetId="9">TB_CONTENIDO!$A$1950</definedName>
    <definedName name="_Toc227098925" localSheetId="9">TB_CONTENIDO!$A$1987</definedName>
    <definedName name="_Toc227098926" localSheetId="9">TB_CONTENIDO!$A$2007</definedName>
    <definedName name="_Toc227098927" localSheetId="9">TB_CONTENIDO!$A$2038</definedName>
    <definedName name="_Toc227098928" localSheetId="9">TB_CONTENIDO!$A$2069</definedName>
    <definedName name="_Toc227098929" localSheetId="9">TB_CONTENIDO!$A$2091</definedName>
    <definedName name="_Toc227098930" localSheetId="9">TB_CONTENIDO!$A$2093</definedName>
    <definedName name="_Toc227098931" localSheetId="9">TB_CONTENIDO!$A$2097</definedName>
    <definedName name="_Toc227098932" localSheetId="9">TB_CONTENIDO!$A$2238</definedName>
    <definedName name="_Toc227098933" localSheetId="9">TB_CONTENIDO!$A$2247</definedName>
    <definedName name="_Toc227098934" localSheetId="9">TB_CONTENIDO!$A$2254</definedName>
    <definedName name="_Toc227098935" localSheetId="9">TB_CONTENIDO!$A$2273</definedName>
    <definedName name="_Toc227098936" localSheetId="9">TB_CONTENIDO!$A$2285</definedName>
    <definedName name="_Toc227098937" localSheetId="9">TB_CONTENIDO!$A$2309</definedName>
    <definedName name="_Toc227098938" localSheetId="9">TB_CONTENIDO!$A$2321</definedName>
    <definedName name="_Toc227098939" localSheetId="9">TB_CONTENIDO!$A$2323</definedName>
    <definedName name="_Toc227098940" localSheetId="9">TB_CONTENIDO!$A$2356</definedName>
    <definedName name="_Toc227098941" localSheetId="9">TB_CONTENIDO!$A$2376</definedName>
    <definedName name="_Toc227098942" localSheetId="9">TB_CONTENIDO!$A$2380</definedName>
    <definedName name="_Toc227098943" localSheetId="9">TB_CONTENIDO!$A$2381</definedName>
    <definedName name="_Toc227098944" localSheetId="9">TB_CONTENIDO!$A$2450</definedName>
    <definedName name="_Toc227098945" localSheetId="9">TB_CONTENIDO!$A$2549</definedName>
    <definedName name="_Toc227098946" localSheetId="9">TB_CONTENIDO!$A$2578</definedName>
    <definedName name="_Toc227098947" localSheetId="9">TB_CONTENIDO!$A$2613</definedName>
    <definedName name="_Toc227098948" localSheetId="9">TB_CONTENIDO!$A$2616</definedName>
    <definedName name="_Toc227098949" localSheetId="9">TB_CONTENIDO!$A$2633</definedName>
    <definedName name="_Toc227098950" localSheetId="9">TB_CONTENIDO!$A$2640</definedName>
    <definedName name="_Toc227098951" localSheetId="9">TB_CONTENIDO!$A$2684</definedName>
    <definedName name="_Toc227098952" localSheetId="9">TB_CONTENIDO!$A$2692</definedName>
    <definedName name="_Toc227098953" localSheetId="9">TB_CONTENIDO!$A$2724</definedName>
    <definedName name="_Toc227098954" localSheetId="9">TB_CONTENIDO!$A$2728</definedName>
    <definedName name="_Toc227098955" localSheetId="9">TB_CONTENIDO!$A$2731</definedName>
    <definedName name="_Toc227098956" localSheetId="9">TB_CONTENIDO!$A$2738</definedName>
    <definedName name="_Toc227098957" localSheetId="9">TB_CONTENIDO!$A$2748</definedName>
    <definedName name="_Toc227098958" localSheetId="9">TB_CONTENIDO!$A$2757</definedName>
    <definedName name="_Toc227098960" localSheetId="9">TB_CONTENIDO!$A$2767</definedName>
    <definedName name="_Toc227098961" localSheetId="9">TB_CONTENIDO!$A$3331</definedName>
    <definedName name="_Toc227098962" localSheetId="9">TB_CONTENIDO!$A$3333</definedName>
    <definedName name="_Toc227098963" localSheetId="9">TB_CONTENIDO!$A$3337</definedName>
    <definedName name="_Toc227098964" localSheetId="9">TB_CONTENIDO!$A$3339</definedName>
    <definedName name="_Toc227098965" localSheetId="9">TB_CONTENIDO!$A$3378</definedName>
    <definedName name="_Toc227098966" localSheetId="9">TB_CONTENIDO!$A$3384</definedName>
    <definedName name="_Toc227098967" localSheetId="9">TB_CONTENIDO!$A$3385</definedName>
    <definedName name="_Toc227098968" localSheetId="9">TB_CONTENIDO!$A$3387</definedName>
    <definedName name="_Toc227098969" localSheetId="9">TB_CONTENIDO!$A$3430</definedName>
    <definedName name="_Toc227098970" localSheetId="9">TB_CONTENIDO!$A$3441</definedName>
    <definedName name="_Toc227098971" localSheetId="9">TB_CONTENIDO!$A$3457</definedName>
    <definedName name="_Toc227098972" localSheetId="9">TB_CONTENIDO!$A$3483</definedName>
    <definedName name="_Toc227098973" localSheetId="9">TB_CONTENIDO!$A$3547</definedName>
    <definedName name="_Toc227098974" localSheetId="9">TB_CONTENIDO!$A$3574</definedName>
    <definedName name="_Toc227098975" localSheetId="9">TB_CONTENIDO!$A$3581</definedName>
    <definedName name="_Toc227098976" localSheetId="9">TB_CONTENIDO!$A$3608</definedName>
    <definedName name="_Toc227098977" localSheetId="9">TB_CONTENIDO!$A$3644</definedName>
    <definedName name="_Toc227098978" localSheetId="9">TB_CONTENIDO!$A$3656</definedName>
    <definedName name="_Toc227098979" localSheetId="9">TB_CONTENIDO!$A$3678</definedName>
    <definedName name="_Toc227098980" localSheetId="9">TB_CONTENIDO!$A$3723</definedName>
    <definedName name="_Toc227098981" localSheetId="9">TB_CONTENIDO!$A$3747</definedName>
    <definedName name="_Toc227098982" localSheetId="9">TB_CONTENIDO!$A$3789</definedName>
    <definedName name="_Toc227098983" localSheetId="9">TB_CONTENIDO!$A$3845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8" i="5" l="1"/>
  <c r="E58" i="5"/>
  <c r="D58" i="5"/>
  <c r="F57" i="5"/>
  <c r="E57" i="5"/>
  <c r="D57" i="5"/>
  <c r="F56" i="5"/>
  <c r="E56" i="5"/>
  <c r="D56" i="5"/>
  <c r="F55" i="5"/>
  <c r="E55" i="5"/>
  <c r="D55" i="5"/>
  <c r="F54" i="5"/>
  <c r="E54" i="5"/>
  <c r="D54" i="5"/>
  <c r="F53" i="5"/>
  <c r="E53" i="5"/>
  <c r="D53" i="5"/>
  <c r="F52" i="5"/>
  <c r="E52" i="5"/>
  <c r="D52" i="5"/>
  <c r="F51" i="5"/>
  <c r="E51" i="5"/>
  <c r="D51" i="5"/>
  <c r="F50" i="5"/>
  <c r="E50" i="5"/>
  <c r="D50" i="5"/>
  <c r="F49" i="5"/>
  <c r="E49" i="5"/>
  <c r="D49" i="5"/>
  <c r="F48" i="5"/>
  <c r="E48" i="5"/>
  <c r="D48" i="5"/>
  <c r="F47" i="5"/>
  <c r="E47" i="5"/>
  <c r="D47" i="5"/>
  <c r="F46" i="5"/>
  <c r="E46" i="5"/>
  <c r="D46" i="5"/>
  <c r="F45" i="5"/>
  <c r="E45" i="5"/>
  <c r="D45" i="5"/>
  <c r="F44" i="5"/>
  <c r="E44" i="5"/>
  <c r="D44" i="5"/>
  <c r="F43" i="5"/>
  <c r="E43" i="5"/>
  <c r="D43" i="5"/>
  <c r="F42" i="5"/>
  <c r="E42" i="5"/>
  <c r="D42" i="5"/>
  <c r="F41" i="5"/>
  <c r="E41" i="5"/>
  <c r="D41" i="5"/>
  <c r="F40" i="5"/>
  <c r="E40" i="5"/>
  <c r="D40" i="5"/>
  <c r="F39" i="5"/>
  <c r="E39" i="5"/>
  <c r="D39" i="5"/>
  <c r="F38" i="5"/>
  <c r="E38" i="5"/>
  <c r="D38" i="5"/>
  <c r="F37" i="5"/>
  <c r="E37" i="5"/>
  <c r="D37" i="5"/>
  <c r="F36" i="5"/>
  <c r="E36" i="5"/>
  <c r="D36" i="5"/>
  <c r="F35" i="5"/>
  <c r="E35" i="5"/>
  <c r="D35" i="5"/>
  <c r="F34" i="5"/>
  <c r="E34" i="5"/>
  <c r="D34" i="5"/>
  <c r="F33" i="5"/>
  <c r="E33" i="5"/>
  <c r="D33" i="5"/>
  <c r="F32" i="5"/>
  <c r="E32" i="5"/>
  <c r="D32" i="5"/>
  <c r="F31" i="5"/>
  <c r="E31" i="5"/>
  <c r="D31" i="5"/>
  <c r="F30" i="5"/>
  <c r="E30" i="5"/>
  <c r="D30" i="5"/>
  <c r="F29" i="5"/>
  <c r="E29" i="5"/>
  <c r="D29" i="5"/>
  <c r="F28" i="5"/>
  <c r="E28" i="5"/>
  <c r="D28" i="5"/>
  <c r="F27" i="5"/>
  <c r="E27" i="5"/>
  <c r="D27" i="5"/>
  <c r="F26" i="5"/>
  <c r="E26" i="5"/>
  <c r="D26" i="5"/>
  <c r="F25" i="5"/>
  <c r="E25" i="5"/>
  <c r="D25" i="5"/>
  <c r="F24" i="5"/>
  <c r="E24" i="5"/>
  <c r="D24" i="5"/>
  <c r="F23" i="5"/>
  <c r="E23" i="5"/>
  <c r="D23" i="5"/>
  <c r="F22" i="5"/>
  <c r="E22" i="5"/>
  <c r="D22" i="5"/>
  <c r="F21" i="5"/>
  <c r="E21" i="5"/>
  <c r="D21" i="5"/>
  <c r="F20" i="5"/>
  <c r="E20" i="5"/>
  <c r="D20" i="5"/>
  <c r="F19" i="5"/>
  <c r="E19" i="5"/>
  <c r="D19" i="5"/>
  <c r="F18" i="5"/>
  <c r="E18" i="5"/>
  <c r="D18" i="5"/>
  <c r="F17" i="5"/>
  <c r="E17" i="5"/>
  <c r="D17" i="5"/>
  <c r="F16" i="5"/>
  <c r="E16" i="5"/>
  <c r="D16" i="5"/>
  <c r="F15" i="5"/>
  <c r="E15" i="5"/>
  <c r="D15" i="5"/>
  <c r="F14" i="5"/>
  <c r="E14" i="5"/>
  <c r="D14" i="5"/>
  <c r="F13" i="5"/>
  <c r="E13" i="5"/>
  <c r="D13" i="5"/>
  <c r="F12" i="5"/>
  <c r="E12" i="5"/>
  <c r="D12" i="5"/>
  <c r="F11" i="5"/>
  <c r="E11" i="5"/>
  <c r="D11" i="5"/>
  <c r="F10" i="5"/>
  <c r="E10" i="5"/>
  <c r="D10" i="5"/>
  <c r="F9" i="5"/>
  <c r="E9" i="5"/>
  <c r="D9" i="5"/>
  <c r="F8" i="5"/>
  <c r="E8" i="5"/>
  <c r="D8" i="5"/>
  <c r="F7" i="5"/>
  <c r="E7" i="5"/>
  <c r="D7" i="5"/>
  <c r="F3" i="5"/>
  <c r="E3" i="5"/>
  <c r="D3" i="5"/>
  <c r="C3" i="5"/>
  <c r="B3" i="5"/>
  <c r="C12" i="2"/>
  <c r="C13" i="2" l="1"/>
  <c r="C14" i="2"/>
</calcChain>
</file>

<file path=xl/sharedStrings.xml><?xml version="1.0" encoding="utf-8"?>
<sst xmlns="http://schemas.openxmlformats.org/spreadsheetml/2006/main" count="2528" uniqueCount="579">
  <si>
    <t>LISTA DE CHEQUEO — MONITOREO DE INFORMACIÓN DE PROCESOS INSTITUCIONALES</t>
  </si>
  <si>
    <t>Control C-02 | Proceso: Desempeño Institucional | Gerencia de Planeación y Gestión</t>
  </si>
  <si>
    <t>PROPÓSITO DEL INSTRUMENTO</t>
  </si>
  <si>
    <t>Objetivo:</t>
  </si>
  <si>
    <t>Verificar la calidad, completitud, oportunidad y consistencia de la información reportada por cada proceso fuente al modelo de desempeño institucional e informes de la gerencia, conforme a los protocolos y fichas técnicas de indicadores vigentes.</t>
  </si>
  <si>
    <t>Alcance:</t>
  </si>
  <si>
    <t>Aplica a todos los subprocesos reportantes agrupados por Vicerrectoría / Gerencia. Se ejecuta de manera trimestral por el Especialista en Medición y Mejora.</t>
  </si>
  <si>
    <t>Riesgo mitigado:</t>
  </si>
  <si>
    <t>R2 — Desempeño institucional gestionado ineficazmente por falta de estandarización, duplicidades y baja calidad de datos. R3 — Limitaciones en procesos manuales de recolección y validación.</t>
  </si>
  <si>
    <t>Criterio de alerta:</t>
  </si>
  <si>
    <t>Un proceso se marca en ALERTA si obtiene CUMPLE en menos del 80% de los criterios verificados, o si incumple cualquier criterio marcado como CRÍTICO (★).</t>
  </si>
  <si>
    <t>Escala de calificación:</t>
  </si>
  <si>
    <t>CUMPLE ✔ = Criterio satisfecho sin observaciones  |  CUMPLE PARCIALMENTE ⚠ = Satisfecho con observaciones o brechas menores  |  NO CUMPLE ✘ = Criterio no satisfecho, requiere acción correctiva  |  N/A = No aplica al proceso en el período</t>
  </si>
  <si>
    <t>Frecuencia:</t>
  </si>
  <si>
    <t>Trimestral — Cortes: Marzo / Junio / Septiembre / Diciembre. Se ejecuta dentro de los primeros 15 días hábiles posteriores al cierre de cada trimestre.</t>
  </si>
  <si>
    <t>Responsable:</t>
  </si>
  <si>
    <t>Especialista en Medición y Mejora — Director de estudios internos
Gerencia de Planeación y Gestión</t>
  </si>
  <si>
    <t>Nota sobre escalamiento:</t>
  </si>
  <si>
    <t>Si se identifican hallazgos críticos (NO CUMPLE en criterio ★), el especialista notifica al responsable del proceso en máximo 3 días hábiles. El plazo de corrección es de 10 días hábiles. Hallazgos sin corrección escalan a C-03.</t>
  </si>
  <si>
    <t>CONVENCIONES DE COLOR:</t>
  </si>
  <si>
    <t>Verde claro</t>
  </si>
  <si>
    <t>Proceso CUMPLE — Sin observaciones relevantes</t>
  </si>
  <si>
    <t>Amarillo claro</t>
  </si>
  <si>
    <t>Proceso CUMPLE PARCIALMENTE — Requiere seguimiento</t>
  </si>
  <si>
    <t>Rojo claro</t>
  </si>
  <si>
    <t>Proceso NO CUMPLE — Requiere acción correctiva inmediata</t>
  </si>
  <si>
    <t>Azul muy claro</t>
  </si>
  <si>
    <t>Fila de encabezado de categoría</t>
  </si>
  <si>
    <t>Gris claro</t>
  </si>
  <si>
    <t>Fila de instrucción o referencia</t>
  </si>
  <si>
    <t>DATOS DE IDENTIFICACIÓN DEL PERÍODO DE MONITOREO</t>
  </si>
  <si>
    <t>Año de monitoreo:</t>
  </si>
  <si>
    <t>Trimestre / Corte:</t>
  </si>
  <si>
    <t>T4-Diciembre</t>
  </si>
  <si>
    <t>Fecha de inicio del monitoreo:</t>
  </si>
  <si>
    <t>Fecha de cierre del monitoreo:</t>
  </si>
  <si>
    <t>Especialista responsable:</t>
  </si>
  <si>
    <t>Ximena Silva - Fabricio Lopez</t>
  </si>
  <si>
    <t>Cargo:</t>
  </si>
  <si>
    <t>Especialista en Medición y Mejora - Director de estudios internos</t>
  </si>
  <si>
    <t>Dependencia:</t>
  </si>
  <si>
    <t>Gerencia de Planeación y Gestión</t>
  </si>
  <si>
    <t>Versión del instrumento:</t>
  </si>
  <si>
    <t>v1.0 — 2026</t>
  </si>
  <si>
    <t>Total procesos monitoreados:</t>
  </si>
  <si>
    <t>Procesos en ALERTA:</t>
  </si>
  <si>
    <t>Procesos sin novedad:</t>
  </si>
  <si>
    <t>LISTA DE CHEQUEO — MONITOREO DE CALIDAD DE INFORMACIÓN REPORTADA POR PROCESOS INSTITUCIONALES</t>
  </si>
  <si>
    <t>Control C-02 | Proceso: Desempeño Institucional | Trimestre: [Ver Portada Período]  | Responsable: [Ver Portada Período]</t>
  </si>
  <si>
    <t>★ = Criterio CRÍTICO — El incumplimiento activa alerta inmediata independientemente del puntaje global     |     ✔ CUMPLE     ⚠ CUMPLE PARCIALMENTE     ✘ NO CUMPLE     N/A = No aplica</t>
  </si>
  <si>
    <t>#</t>
  </si>
  <si>
    <t>VICERRECTORÍA / GERENCIA</t>
  </si>
  <si>
    <t>SUBPROCESO</t>
  </si>
  <si>
    <t>PROCESO</t>
  </si>
  <si>
    <t>Linea</t>
  </si>
  <si>
    <t>Tematica</t>
  </si>
  <si>
    <t>Informe de gestión</t>
  </si>
  <si>
    <t>Informe de sostenibilidad</t>
  </si>
  <si>
    <t>I. OPORTUNIDAD
(Entrega en tiempo ★)</t>
  </si>
  <si>
    <t>II. COMPLETITUD
(Todos los campos ★)</t>
  </si>
  <si>
    <t>III. CONSISTENCIA
(Coherencia interna)</t>
  </si>
  <si>
    <t>IV. PRECISIÓN
(Cálculo correcto ★)</t>
  </si>
  <si>
    <t>V. PROTOCOLO
(Conforme a ficha)</t>
  </si>
  <si>
    <t>OBSERVACIONES / HALLAZGOS DETECTADOS</t>
  </si>
  <si>
    <t>ACCIÓN REQUERIDA / RECOMENDACIÓN</t>
  </si>
  <si>
    <t>RESPONSABLE PROCESO</t>
  </si>
  <si>
    <t>RESULTADO GLOBAL</t>
  </si>
  <si>
    <t>Vicerrectoría financiera</t>
  </si>
  <si>
    <t>GESTIÓN DE ABASTECIMIENTO</t>
  </si>
  <si>
    <t>✔ CUMPLE</t>
  </si>
  <si>
    <t>Gerencia de talento humano y comunicaciones</t>
  </si>
  <si>
    <t>GESTIÓN Y DESARROLLO DEL TALENTO HUMANO</t>
  </si>
  <si>
    <t>⚠ CUMPLE PARCIALMENTE</t>
  </si>
  <si>
    <t>Vicerrectoría del estudiante</t>
  </si>
  <si>
    <t>GESTIÓN DE LA TECNOLOGÍA E INNOVACIÓN DIGITAL</t>
  </si>
  <si>
    <t>AUDITORÍA INTERNA</t>
  </si>
  <si>
    <t>GESTIÓN DE SEGURIDAD Y SALUD EN EL TRABAJO</t>
  </si>
  <si>
    <t>INFRAESTRUCTURA Y SERVICIOS ADMINISTRATIVOS</t>
  </si>
  <si>
    <t>Gestión Infraestructura Física</t>
  </si>
  <si>
    <t>Vicerrectoría académica</t>
  </si>
  <si>
    <t>VISIBILIDAD NACIONAL E INTERNACIONAL</t>
  </si>
  <si>
    <t>RECURSOS ACADÉMICOS Y DE INVESTIGACIÓN</t>
  </si>
  <si>
    <t>Biblioteca Institucional</t>
  </si>
  <si>
    <t>INVESTIGACIÓN, INNOVACIÓN Y CREACIÓN</t>
  </si>
  <si>
    <t>Investigación, desarrollo tecnológico, innovación y creación</t>
  </si>
  <si>
    <t>✘ NO CUMPLE</t>
  </si>
  <si>
    <t>Formación para la investigación, creación e innovación</t>
  </si>
  <si>
    <t>Editorial y Publicaciones</t>
  </si>
  <si>
    <t>SERVICIO Y PERMANENCIA</t>
  </si>
  <si>
    <t>Servicio</t>
  </si>
  <si>
    <t>GESTIÓN FINANCIERA</t>
  </si>
  <si>
    <t>Planeación Financiera</t>
  </si>
  <si>
    <t>GESTIÓN AMBIENTAL</t>
  </si>
  <si>
    <t>Planificación POLISIGS</t>
  </si>
  <si>
    <t>DIRECCIONAMIENTO ESTRATÉGICO</t>
  </si>
  <si>
    <t>Gestión de Proyectos</t>
  </si>
  <si>
    <t>Permanencia</t>
  </si>
  <si>
    <t>Registro y Control</t>
  </si>
  <si>
    <t>GESTIÓN DE PORTAFOLIO INSTITUCIONAL</t>
  </si>
  <si>
    <t>Gestión, Evaluación e Innovación Curricular</t>
  </si>
  <si>
    <t>Planeación Estratégica</t>
  </si>
  <si>
    <t>Desempeño Institucional</t>
  </si>
  <si>
    <t>Rematrícula</t>
  </si>
  <si>
    <t>Rectoría</t>
  </si>
  <si>
    <t>GESTIÓN JURÍDICA Y NORMATIVA</t>
  </si>
  <si>
    <t>Centro de Medios Audiovisuales</t>
  </si>
  <si>
    <t>AUTOEVALUACIÓN Y AUTOREGULACIÓN</t>
  </si>
  <si>
    <t>Autoevaluación de programas académicos</t>
  </si>
  <si>
    <t>Acreditación de programas en alta calidad</t>
  </si>
  <si>
    <t>EXPERIENCIA INSTITUCIONAL</t>
  </si>
  <si>
    <t>DOCENCIA</t>
  </si>
  <si>
    <t>Gestión Docente</t>
  </si>
  <si>
    <t>Calidad</t>
  </si>
  <si>
    <t>Profesores por nivel de formación</t>
  </si>
  <si>
    <t>X</t>
  </si>
  <si>
    <t>Se solicita ajuste del boletin</t>
  </si>
  <si>
    <t>Cultura y Deporte</t>
  </si>
  <si>
    <t>GESTIÓN DE RIESGOS</t>
  </si>
  <si>
    <t>Administración de Servicios Generales</t>
  </si>
  <si>
    <t>Servicio de Salud</t>
  </si>
  <si>
    <t>Creación, modificación y cierre de programas académicos</t>
  </si>
  <si>
    <t>EXTENSIÓN</t>
  </si>
  <si>
    <t>Gestión de Graduados</t>
  </si>
  <si>
    <t>Autoevaluación institucional</t>
  </si>
  <si>
    <t>Contabilidad</t>
  </si>
  <si>
    <t>DATOS Y ANALÍTICA</t>
  </si>
  <si>
    <t>Tesorería</t>
  </si>
  <si>
    <t>Prácticas</t>
  </si>
  <si>
    <t>Gestión de la Responsabilidad Social</t>
  </si>
  <si>
    <t>Operaciones Académicas</t>
  </si>
  <si>
    <t>Operación de Educación no Formal</t>
  </si>
  <si>
    <t>Vicerrectoría del crecimiento</t>
  </si>
  <si>
    <t>Inscripción, admisión y matrícula de estudiantes nuevos</t>
  </si>
  <si>
    <t>COMUNICACIÓN Y POSICIONAMIENTO ESTRATÉGICO</t>
  </si>
  <si>
    <t>Gestión de campañas integradas de marketing</t>
  </si>
  <si>
    <t>Comunicaciones Externas</t>
  </si>
  <si>
    <t>Emprendimiento</t>
  </si>
  <si>
    <t>LEI</t>
  </si>
  <si>
    <t>Mercadeo de programas académicos</t>
  </si>
  <si>
    <t>Mercadeo y venta de educación para la vida</t>
  </si>
  <si>
    <t>Comunicaciones Internas</t>
  </si>
  <si>
    <t>Gestión de unidades académicas</t>
  </si>
  <si>
    <t>PEI</t>
  </si>
  <si>
    <t>Diseño de contenido Virtual</t>
  </si>
  <si>
    <t>Modulos virtuales</t>
  </si>
  <si>
    <t>Actualización de politicas y reglamentos institucionales</t>
  </si>
  <si>
    <t>CRITERIOS DE VERIFICACIÓN — DESCRIPCIÓN DETALLADA DE CADA DIMENSIÓN</t>
  </si>
  <si>
    <t>DIM.</t>
  </si>
  <si>
    <t>DIMENSIÓN / CRITERIO</t>
  </si>
  <si>
    <t>DESCRIPCIÓN — ¿QUÉ VERIFICA?</t>
  </si>
  <si>
    <t>EVIDENCIA ESPERADA</t>
  </si>
  <si>
    <t>CRITICO ★ / OBSERVACIONES</t>
  </si>
  <si>
    <t>I</t>
  </si>
  <si>
    <t>OPORTUNIDAD
(Columna E) ★ CRÍTICO</t>
  </si>
  <si>
    <t>¿El proceso entregó la información dentro del plazo establecido en la ficha técnica del indicador o protocolo institucional vigente?
• Verificar fecha límite vs. fecha real de entrega.
• Retrasos superiores a 3 días hábiles sin justificación = NO CUMPLE.</t>
  </si>
  <si>
    <t>• Correo/comunicado de entrega con fecha.
• Registro en sistema de seguimiento.
• Acuse de recibo del especialista.</t>
  </si>
  <si>
    <t>★ CRÍTICO — La entrega tardía impide la consolidación del informe trimestral y activa alerta en C-03.</t>
  </si>
  <si>
    <t>II</t>
  </si>
  <si>
    <t>COMPLETITUD
(Columna F) ★ CRÍTICO</t>
  </si>
  <si>
    <t>¿La información reportada contiene todos los campos, indicadores y períodos requeridos según la ficha técnica?
• Verificar que no falten indicadores, períodos, numeradores o denominadores.
• Campos en blanco no justificados = NO CUMPLE.</t>
  </si>
  <si>
    <t>• Informe o plantilla de reporte diligenciada sin campos vacíos.
• Ficha técnica del indicador como referencia.
• Listado de variables requeridas.</t>
  </si>
  <si>
    <t>★ CRÍTICO — La ausencia de datos esenciales hace inválido el reporte del proceso.</t>
  </si>
  <si>
    <t>III</t>
  </si>
  <si>
    <t>CONSISTENCIA
(Columna G)</t>
  </si>
  <si>
    <t>¿Los datos reportados son coherentes internamente y no presentan contradicciones con reportes anteriores o fuentes relacionadas?
• Comparar con datos del período anterior (variación &gt; 20% sin justificación = hallazgo).
• Verificar que numerador no supere denominador donde aplique.</t>
  </si>
  <si>
    <t>• Reporte del período anterior para comparación.
• Justificación escrita ante variaciones atípicas.
• Cruce con otras fuentes institucionales.</t>
  </si>
  <si>
    <t>No crítico — Genera CUMPLE PARCIALMENTE con observación. Requiere seguimiento en el siguiente corte.</t>
  </si>
  <si>
    <t>IV</t>
  </si>
  <si>
    <t>PRECISIÓN / EXACTITUD
(Columna H) ★ CRÍTICO</t>
  </si>
  <si>
    <t>¿Los cálculos, fórmulas y resultados de los indicadores son correctos conforme a la metodología definida en la ficha técnica?
• Recalcular manualmente al menos el 20% de los indicadores reportados.
• Verificar aplicación correcta de la fórmula de cálculo definida.</t>
  </si>
  <si>
    <t>• Ficha técnica con fórmula de cálculo.
• Hoja de trabajo con recálculo de verificación.
• Fuente de datos primaria.</t>
  </si>
  <si>
    <t>★ CRÍTICO — Error de cálculo invalida el indicador y genera dato erróneo en el modelo institucional.</t>
  </si>
  <si>
    <t>V</t>
  </si>
  <si>
    <t>PROTOCOLO / ESTANDARIZACIÓN
(Columna I)</t>
  </si>
  <si>
    <t>¿El proceso de recolección y reporte cumple con el protocolo y formato institucional establecido?
• Verificar uso de plantilla o formato oficial.
• Verificar que el responsable de reporte es el designado en la ficha técnica.
• Detectar pasos manuales no estandarizados o dependientes del criterio personal.</t>
  </si>
  <si>
    <t>• Plantilla oficial utilizada.
• Ficha técnica con responsable designado.
• Procedimiento o instructivo de recolección.</t>
  </si>
  <si>
    <t>No crítico — Incumplimientos en protocolo se comunican al responsable y se incluyen en el plan de formación C-04.</t>
  </si>
  <si>
    <t>RESUMEN EJECUTIVO — RESULTADOS DEL MONITOREO TRIMESTRAL</t>
  </si>
  <si>
    <t>TOTAL PROCESOS MONITOREADOS</t>
  </si>
  <si>
    <t>SIN NOVEDAD (CUMPLE)</t>
  </si>
  <si>
    <t>SEGUIMIENTO</t>
  </si>
  <si>
    <t>ALERTA (NO CUMPLE)</t>
  </si>
  <si>
    <t>% CUMPLIMIENTO GLOBAL</t>
  </si>
  <si>
    <t>DETALLE POR PROCESO — RESULTADO DEL PERÍODO</t>
  </si>
  <si>
    <t>SUBPROCESO / PROCESO FUENTE</t>
  </si>
  <si>
    <t>CRITERIOS NO CUMPLIDOS (Resumen)</t>
  </si>
  <si>
    <t># HALLAZGOS</t>
  </si>
  <si>
    <t>ESTADO / OBSERVACIÓN EJECUTIVA</t>
  </si>
  <si>
    <t>Gestión de calidad</t>
  </si>
  <si>
    <t>REGISTRO DE HALLAZGOS Y PLAN DE ACCIÓN — C-02 / C-03</t>
  </si>
  <si>
    <t>Registre aquí cada hallazgo identificado en la Lista de Chequeo. Este registro activa automáticamente el seguimiento de C-03 para los incumplimientos de indicadores.</t>
  </si>
  <si>
    <t>PROCESO FUENTE</t>
  </si>
  <si>
    <t>DIMENSIÓN INCUMPLIDA</t>
  </si>
  <si>
    <t>DESCRIPCIÓN DEL HALLAZGO</t>
  </si>
  <si>
    <t>CRITICIDAD</t>
  </si>
  <si>
    <t>ACCIÓN CORRECTIVA REQUERIDA</t>
  </si>
  <si>
    <t>PLAZO MÁXIMO</t>
  </si>
  <si>
    <t>ESTADO</t>
  </si>
  <si>
    <t>HISTÓRICO DE MONITOREOS — TRAZABILIDAD POR PROCESO Y PERÍODO</t>
  </si>
  <si>
    <t>Al cerrar cada ciclo trimestral, copie los resultados de 'RESUMEN' como valores en esta hoja para preservar el histórico. No vincule fórmulas — copie como valores.</t>
  </si>
  <si>
    <t>TRIMESTRE</t>
  </si>
  <si>
    <t>SUBPROCESO / PROCESO</t>
  </si>
  <si>
    <t># HALLAZGOS CRÍTICOS</t>
  </si>
  <si>
    <t># HALLAZGOS TOTALES</t>
  </si>
  <si>
    <t>ACCIÓN ACTIVADA (C-03)</t>
  </si>
  <si>
    <t>FORMACIÓN REQUERIDA (C-04)</t>
  </si>
  <si>
    <t>OBSERVACIONES</t>
  </si>
  <si>
    <t>MENSAJE DEL RECTOR A LOS GRUPOS DE INTERÉS</t>
  </si>
  <si>
    <t>MATERIALIDAD</t>
  </si>
  <si>
    <t>Bienestar Universitario</t>
  </si>
  <si>
    <t>2.1.1 ACTUALIZACIÓN DEL PROYECTO EDUCATIVO INSTITUCIONAL - PEI: UN EJERCICIO COLECTIVO, PARTICIPATIVO Y TRANSFORMADOR</t>
  </si>
  <si>
    <t>2.1.3 ACREDITACIÓN INSTITUCIONAL EN ALTA CALIDAD</t>
  </si>
  <si>
    <t>2.1.4 ACREDITACIÓN DE PROGRAMAS EN ALTA CALIDAD</t>
  </si>
  <si>
    <t>2.1.4.2. ELABORACIÓN DE INFORMES DE AUTOEVALUACIÓN EN ALTA CALIDAD DE PROGRAMAS ACADÉMICOS</t>
  </si>
  <si>
    <t>2.1.4.3. PROCESOS DE RENOVACIÓN DE ACREDITACIÓN EN ALTA CALIDAD DE PROGRAMAS ACADÉMICOS</t>
  </si>
  <si>
    <t>Participación de estudiantes en internacionalización del currículo</t>
  </si>
  <si>
    <t>Movilidad de estudiantes</t>
  </si>
  <si>
    <t>Publicaciones no periódicas</t>
  </si>
  <si>
    <t>Publicaciones periódicas</t>
  </si>
  <si>
    <t>2.2 OBJETIVO ESTRATÉGICO: FORTALECER LA OFERTA EDUCATIVA Y LA INNOVACIÓN CURRICULAR</t>
  </si>
  <si>
    <t>3.1 OBJETIVO ESTRATÉGICO: CRECER CON COMPROMISO SOCIAL</t>
  </si>
  <si>
    <t>Programas nuevos lanzados</t>
  </si>
  <si>
    <t>4.1 OBJETIVO ESTRATÉGICO: IMPULSAR Y POTENCIAR LA EDUCACIÓN CONTINUA</t>
  </si>
  <si>
    <t>4.2 OBJETIVO ESTRATÉGICO: INCURSIONAR EN LOS NIVELES DE EDUCACIÓN MEDIA Y EDUCACIÓN PARA EL TRABAJO Y EL DESARROLLO HUMANO.</t>
  </si>
  <si>
    <t>Accidentes de trabajo</t>
  </si>
  <si>
    <t>Tasa de accidentalidad</t>
  </si>
  <si>
    <t>Incidentes de trabajo</t>
  </si>
  <si>
    <t>Gestión de abastecimiento</t>
  </si>
  <si>
    <t>DESEMPEÑO SOCIAL</t>
  </si>
  <si>
    <t>HUELLA GRANCOLOMBIANA</t>
  </si>
  <si>
    <t>Fundación Huella Grancolombiana</t>
  </si>
  <si>
    <t>Inclusión</t>
  </si>
  <si>
    <t>GESTIÓN DE GRADUADOS</t>
  </si>
  <si>
    <t>Residuos</t>
  </si>
  <si>
    <t>Planes y programas ambientales</t>
  </si>
  <si>
    <t>Energía</t>
  </si>
  <si>
    <t>Agua y efluentes</t>
  </si>
  <si>
    <t>Biodiversidad</t>
  </si>
  <si>
    <t>Emisiones</t>
  </si>
  <si>
    <t>7.1 OBJETIVO ESTRATÉGICO: Promover una cultura de optimización de recursos financieros que apalanque la estrategia</t>
  </si>
  <si>
    <t>Ingresos</t>
  </si>
  <si>
    <t>Utilidad operacional y utilidad neta</t>
  </si>
  <si>
    <t>Activos</t>
  </si>
  <si>
    <t>Indicadores de liquidez</t>
  </si>
  <si>
    <t>Indicadores de endeudamiento</t>
  </si>
  <si>
    <t>Indicadores de rentabilidad</t>
  </si>
  <si>
    <t>1.12.6</t>
  </si>
  <si>
    <t>1.12.7.</t>
  </si>
  <si>
    <t>MEJORA CONTINUA INSTITUCIONAL</t>
  </si>
  <si>
    <t>1.12.8.</t>
  </si>
  <si>
    <t>POLISIGS (Sistema Integrado de Aseguramiento y Gestión Para la Sostenibilidad)</t>
  </si>
  <si>
    <t>1.12.9.</t>
  </si>
  <si>
    <t>PLAN DE MEJORAMIENTO</t>
  </si>
  <si>
    <t>2.</t>
  </si>
  <si>
    <t>LÍNEA ESTRATÉGICA CALIDAD</t>
  </si>
  <si>
    <t>2.1</t>
  </si>
  <si>
    <t>OBJETIVO ESTRATÉGICO: ASEGURAR LA ALTA CALIDAD</t>
  </si>
  <si>
    <t>2.1.2 ACTUALIZACIÓN DE POLÍTICAS Y REGLAMENTOS INSTITUCIONALES</t>
  </si>
  <si>
    <t>2.1.4.1 APROBACIÓN DE CONDICIONES INICIALES DE PROGRAMAS ACADÉMICOS.</t>
  </si>
  <si>
    <t>2.1.5 Afiliación ASCUN</t>
  </si>
  <si>
    <t>2.1.6</t>
  </si>
  <si>
    <t>2.1.7</t>
  </si>
  <si>
    <t>FORTALECIMIENTO DE LA GESTIÓN DE INVESTIGACIÓN, INNOVACIÓN Y CREACIÓN</t>
  </si>
  <si>
    <t>2.1.8</t>
  </si>
  <si>
    <t>FORTALECIMIENTO DE LA INTERNACIONALIZACIÓN</t>
  </si>
  <si>
    <t>2.1.9</t>
  </si>
  <si>
    <t>EVENTOS ACADÉMICOS</t>
  </si>
  <si>
    <t>2.1.10</t>
  </si>
  <si>
    <t>CONSULTORÍAS Y ASESORÍAS</t>
  </si>
  <si>
    <t>2.1.11</t>
  </si>
  <si>
    <t>RECONOCIMIENTOS</t>
  </si>
  <si>
    <t>2.1.12</t>
  </si>
  <si>
    <t>CONVENIOS</t>
  </si>
  <si>
    <t>2.1.13</t>
  </si>
  <si>
    <t>CONSOLIDACIÓN DEL CREA (CENTRO DE RECURSOS Y EXPERIENCIAS PARA EL APRENDIZAJE)</t>
  </si>
  <si>
    <t>2.1.13.1</t>
  </si>
  <si>
    <t>SISTEMA NACIONAL DE BIBLIOTECAS</t>
  </si>
  <si>
    <t>2.1.13.2</t>
  </si>
  <si>
    <t>EDITORIAL</t>
  </si>
  <si>
    <t>2.1.13.3</t>
  </si>
  <si>
    <t>CMA</t>
  </si>
  <si>
    <t>2.2.1</t>
  </si>
  <si>
    <t>APROBACIÓN DE CONDICIONES INSTITUCIONALES PARA REGISTRO CALIFICADO</t>
  </si>
  <si>
    <t>2.2.2</t>
  </si>
  <si>
    <t>AMPLIACIÓN Y SOSTENIMIENTO DE LA OFERTA ACADÉMICA</t>
  </si>
  <si>
    <t>2.2.3</t>
  </si>
  <si>
    <t>FORTALECIMIENTO CURRICULAR</t>
  </si>
  <si>
    <t>Ø</t>
  </si>
  <si>
    <t>Proceso de gestión, evaluación e innovación curricular</t>
  </si>
  <si>
    <t>2.2.4</t>
  </si>
  <si>
    <t>MODELO DE RESULTADOS DE APRENDIZAJE</t>
  </si>
  <si>
    <t>2.2.5</t>
  </si>
  <si>
    <t>GERENCIA DE EDUCACIÓN VIRTUAL</t>
  </si>
  <si>
    <t>Diseño de contenido virtual</t>
  </si>
  <si>
    <t>3.</t>
  </si>
  <si>
    <t>LÍNEA ESTRATÉGICA EXPANSIÓN</t>
  </si>
  <si>
    <t>3.1.1</t>
  </si>
  <si>
    <t>CRECIMIENTO DE LA POBLACIÓN ESTUDIANTIL</t>
  </si>
  <si>
    <t>3.1.1.1</t>
  </si>
  <si>
    <t>ESTUDIANTES NUEVOS</t>
  </si>
  <si>
    <t>3.1.1.2</t>
  </si>
  <si>
    <t>ESTUDIANTES ANTIGUOS, REMATRÍCULA</t>
  </si>
  <si>
    <t>3.1.2</t>
  </si>
  <si>
    <t>CENTROS DE SERVICIO UNIVERSITARIO</t>
  </si>
  <si>
    <t>3.1.2.1</t>
  </si>
  <si>
    <t>CUBRIMIENTO Y PRESENCIA DE CSU A NIVEL NACIONAL</t>
  </si>
  <si>
    <t>3.1.3</t>
  </si>
  <si>
    <t>MERCADEO DE PROGRAMAS ACADEMICOS</t>
  </si>
  <si>
    <t>3.1.3.1</t>
  </si>
  <si>
    <t>Fortalecimiento del portafolio académico</t>
  </si>
  <si>
    <t>3.1.3.2</t>
  </si>
  <si>
    <t>Fortalecimiento del posicionamiento de marca</t>
  </si>
  <si>
    <t>3.1.3.3</t>
  </si>
  <si>
    <t>Estrategia de precio, proyecto Pricing</t>
  </si>
  <si>
    <t>3.1.4</t>
  </si>
  <si>
    <t>3.1.4.1</t>
  </si>
  <si>
    <t>PRESENCIA INSTITUCIONAL EN LAS REGIONES</t>
  </si>
  <si>
    <t>3.1.4.2</t>
  </si>
  <si>
    <t>FREE PRESS Y REPUTACIÓN INSTITUCIONAL</t>
  </si>
  <si>
    <t>3.1.4.3</t>
  </si>
  <si>
    <t>AGENCIA TROMPO</t>
  </si>
  <si>
    <t>4.</t>
  </si>
  <si>
    <t>LÍNEA ESTRATÉGICA EDUCACIÓN PARA TODA LA VIDA</t>
  </si>
  <si>
    <t>4.1.1</t>
  </si>
  <si>
    <t>CUMPLIMIENTO DE INGRESOS DE EDUCACIÓN PARA LA VIDA</t>
  </si>
  <si>
    <t>4.1.1.1</t>
  </si>
  <si>
    <t>BUSINESS-TO-GOVERNMENT – B2G</t>
  </si>
  <si>
    <t>4.1.1.2</t>
  </si>
  <si>
    <t>Business-to-Consumer – B2C</t>
  </si>
  <si>
    <t>4.1.1.3</t>
  </si>
  <si>
    <t>Business-to-Business B2B</t>
  </si>
  <si>
    <t>4.1.1.4</t>
  </si>
  <si>
    <t>Opciones de Grado</t>
  </si>
  <si>
    <t>4.1.2</t>
  </si>
  <si>
    <t>Reconocimiento institucional Lifelong Learning Foundation</t>
  </si>
  <si>
    <t>4.2.1</t>
  </si>
  <si>
    <t>Avance del proyecto creación de la Institución de Educación para el Trabajo y el Desarrollo Humano en alianza con Cafam</t>
  </si>
  <si>
    <t>4.2.2</t>
  </si>
  <si>
    <t>Avance del proyecto de creación del colegio en modalidad semipresencial en alianza con Cafam</t>
  </si>
  <si>
    <t>5.</t>
  </si>
  <si>
    <t>LÍNEA ESTRATÉGICA EXPERIENCIA</t>
  </si>
  <si>
    <t>5.1 OBJETIVO ESTRATÉGICO: Garantizar una experiencia significativa y de valor agregado a la comunidad</t>
  </si>
  <si>
    <t>5.1.1</t>
  </si>
  <si>
    <t>Modelo de Experiencia Institucional</t>
  </si>
  <si>
    <t>5.1.1.1</t>
  </si>
  <si>
    <t>Reconocimiento y diagnóstico de la experiencia Poli</t>
  </si>
  <si>
    <t>5.1.1.2</t>
  </si>
  <si>
    <t>Construcción del modelo de gestión de la experiencia Poli</t>
  </si>
  <si>
    <t>5.1.2</t>
  </si>
  <si>
    <t>5.1.2.1</t>
  </si>
  <si>
    <t>Ruta de acompañamiento académico integral</t>
  </si>
  <si>
    <t>5.1.2.2</t>
  </si>
  <si>
    <t>Modelo de acompañamiento para la rematrícula</t>
  </si>
  <si>
    <t>5.1.2.3</t>
  </si>
  <si>
    <t>Ruta de inducción personalizada</t>
  </si>
  <si>
    <t>5.1.2.4</t>
  </si>
  <si>
    <t>Proyecto institucional de permanencia, plan de mejoramiento institucional</t>
  </si>
  <si>
    <t>5.1.3</t>
  </si>
  <si>
    <t>5.1.4</t>
  </si>
  <si>
    <t>Bienestar Universitario: un pilar del desarrollo humano integral</t>
  </si>
  <si>
    <t>5.1.4.1</t>
  </si>
  <si>
    <t>Deportes</t>
  </si>
  <si>
    <t>5.1.4.2</t>
  </si>
  <si>
    <t>Cultura</t>
  </si>
  <si>
    <t>5.1.4.3</t>
  </si>
  <si>
    <t>Salud</t>
  </si>
  <si>
    <t>6.</t>
  </si>
  <si>
    <t>LÍNEA ESTRATÉGICA TRANSFORMACIÓN ORGANIZACIONAL</t>
  </si>
  <si>
    <t>6.1</t>
  </si>
  <si>
    <t>OBJETIVO ESTRATÉGICO: FORTALECER LA GESTIÓN DE LOS PROCESOS Y LA TOMA DE DECISIONES BASADA EN DATOS</t>
  </si>
  <si>
    <t>6.1.1</t>
  </si>
  <si>
    <t>Modelo de planeación basado en la estrategia y centrado en las personas</t>
  </si>
  <si>
    <t>6.1.2</t>
  </si>
  <si>
    <t>Construcción del Plan de Mejoramiento Institucional</t>
  </si>
  <si>
    <t>6.1.3</t>
  </si>
  <si>
    <t>Rendición de cuentas y Balance institucional</t>
  </si>
  <si>
    <t>6.1.4</t>
  </si>
  <si>
    <t>Construcción PDI 2026-2030</t>
  </si>
  <si>
    <t>6.1.5</t>
  </si>
  <si>
    <t>Premios Orgullosamente Poli</t>
  </si>
  <si>
    <t>6.1.6</t>
  </si>
  <si>
    <t>Sistema Integrado de Aseguramiento y Gestión para la Sostenibilidad – POLISIGS</t>
  </si>
  <si>
    <t>6.1.7</t>
  </si>
  <si>
    <t>Auditoría Interna</t>
  </si>
  <si>
    <t>6.1.8</t>
  </si>
  <si>
    <t>Gestión Jurídica Institucional</t>
  </si>
  <si>
    <t>6.1.8.1</t>
  </si>
  <si>
    <t>Logros estratégicos y mitigación de riesgos</t>
  </si>
  <si>
    <t>6.1.8.2</t>
  </si>
  <si>
    <t>Fortalecimiento del Gobierno Corporativo y Modelo Organizacional</t>
  </si>
  <si>
    <t>6.2</t>
  </si>
  <si>
    <t>OBJETIVO ESTRATÉGICO: Contar con un equipo humano feliz y apasionado, que trabaja de forma colaborativa por alcanzar las metas institucionales.</t>
  </si>
  <si>
    <t>6.2.1</t>
  </si>
  <si>
    <t>Gestión y Desarrollo del Talento Humano</t>
  </si>
  <si>
    <t>6.2.1.1</t>
  </si>
  <si>
    <t>Administración Laboral y Compensación</t>
  </si>
  <si>
    <t>6.2.1.2</t>
  </si>
  <si>
    <t>Bienestar y Relaciones Laborales</t>
  </si>
  <si>
    <t>6.2.1.3</t>
  </si>
  <si>
    <t>Gestión del Ambiente Laboral</t>
  </si>
  <si>
    <t>6.2.1.4</t>
  </si>
  <si>
    <t>Formación y Desarrollo del Talento Humano</t>
  </si>
  <si>
    <t>6.2.2</t>
  </si>
  <si>
    <t>Seguridad y Salud en el Trabajo</t>
  </si>
  <si>
    <t>6.2.2.1</t>
  </si>
  <si>
    <t>Identificación de peligros, evaluación de riesgos e investigación de accidentes e incidentes laborales</t>
  </si>
  <si>
    <t>6.2.2.2</t>
  </si>
  <si>
    <t>Participación de los trabajadores, consultas y comunicación sobre Salud y Seguridad en el Trabajo</t>
  </si>
  <si>
    <t>6.2.2.3</t>
  </si>
  <si>
    <t>Formación de trabajadores sobre salud y seguridad en el trabajo</t>
  </si>
  <si>
    <t>6.2.2.4</t>
  </si>
  <si>
    <t>Gestión de emergencias y simulacros</t>
  </si>
  <si>
    <t>6.2.2.5</t>
  </si>
  <si>
    <t>Lesiones por Accidente Laboral</t>
  </si>
  <si>
    <t>6.3</t>
  </si>
  <si>
    <t>OBJETIVO ESTRATÉGICO: ASEGURAR UNA ARQUITECTURA TECNOLÓGICA CENTRADA EN LA EXPERIENCIA DE LA COMUNIDAD EDUCATIVA</t>
  </si>
  <si>
    <t>6.3.1</t>
  </si>
  <si>
    <t>Ecosistema Digital</t>
  </si>
  <si>
    <t>6.3.1.1</t>
  </si>
  <si>
    <t>Plan Estratégico de Tecnologías de la Información – PETI</t>
  </si>
  <si>
    <t>6.3.1.2</t>
  </si>
  <si>
    <t>Otros Proyectos estratégicos destacados</t>
  </si>
  <si>
    <t>6.3.2</t>
  </si>
  <si>
    <t>Renovación de activos tecnológicos</t>
  </si>
  <si>
    <t>6.3.3</t>
  </si>
  <si>
    <t>Fortalecimiento de la estrategia de Ciberseguridad</t>
  </si>
  <si>
    <t>6.3.4</t>
  </si>
  <si>
    <t>Modelo de gestión centralizada de servicios de TI</t>
  </si>
  <si>
    <t>6.3.5</t>
  </si>
  <si>
    <t>Gestión de la Infraestructura Física</t>
  </si>
  <si>
    <t>7.</t>
  </si>
  <si>
    <t>LÍNEA ESTRATÉGICA SOSTENIBILIDAD</t>
  </si>
  <si>
    <t>7.1.1</t>
  </si>
  <si>
    <t>DESEMPEÑO ECONÓMICO</t>
  </si>
  <si>
    <t>7.1.1.1</t>
  </si>
  <si>
    <t>7.1.1.2</t>
  </si>
  <si>
    <t>7.2</t>
  </si>
  <si>
    <t>OBJETIVO: CONTRIBUIR A LA INCLUSIÓN, LA PROYECCIÓN SOCIAL Y EL CUIDADO DEL MEDIO AMBIENTE</t>
  </si>
  <si>
    <t>7.2.1</t>
  </si>
  <si>
    <t>7.2.1.1</t>
  </si>
  <si>
    <t>7.2.1.2</t>
  </si>
  <si>
    <t>7.2.1.3</t>
  </si>
  <si>
    <t>7.2.1.4</t>
  </si>
  <si>
    <t>7.2.1.5</t>
  </si>
  <si>
    <t>7.2.1.6</t>
  </si>
  <si>
    <t>Modelo institucional de prácticas: formación conectada con la realidad</t>
  </si>
  <si>
    <t>7.2.2</t>
  </si>
  <si>
    <t>Desempeño Ambiental</t>
  </si>
  <si>
    <t>7.2.2.1</t>
  </si>
  <si>
    <t>GreenMetric World University Ranking</t>
  </si>
  <si>
    <t>7.2.2.2</t>
  </si>
  <si>
    <t>Identificación de aspectos y evaluación de impactos ambientales</t>
  </si>
  <si>
    <t>7.2.2.3</t>
  </si>
  <si>
    <t>7.2.2.4</t>
  </si>
  <si>
    <t>7.2.2.5</t>
  </si>
  <si>
    <t>7.2.2.6</t>
  </si>
  <si>
    <t>7.2.2.7</t>
  </si>
  <si>
    <t>7.2.2.8</t>
  </si>
  <si>
    <t>7.2.2.9</t>
  </si>
  <si>
    <t>Cultura de protección y cuidado del ambiente. Educación y comunicación ambiental</t>
  </si>
  <si>
    <r>
      <t>1.</t>
    </r>
    <r>
      <rPr>
        <sz val="7"/>
        <color rgb="FF2F5496"/>
        <rFont val="Times New Roman"/>
        <family val="1"/>
      </rPr>
      <t xml:space="preserve">      </t>
    </r>
    <r>
      <rPr>
        <sz val="16"/>
        <color rgb="FF2F5496"/>
        <rFont val="Calibri Light"/>
        <family val="2"/>
      </rPr>
      <t>Tabla de contenido</t>
    </r>
  </si>
  <si>
    <t>Unidad</t>
  </si>
  <si>
    <t>Proceso</t>
  </si>
  <si>
    <t>Subproceso</t>
  </si>
  <si>
    <t>Tipo de proceso</t>
  </si>
  <si>
    <t>Vicerrectoría financiera y administrativa</t>
  </si>
  <si>
    <t>APOYO</t>
  </si>
  <si>
    <t>ESTRATÉGICO</t>
  </si>
  <si>
    <t xml:space="preserve">AUDITORÍA INTERNA </t>
  </si>
  <si>
    <t>EVALUACIÓN Y MEJORA</t>
  </si>
  <si>
    <t>PLANIFICACIÓN  Y MEJORA DEL SISTEMA INTEGRADO</t>
  </si>
  <si>
    <t>MISIONAL</t>
  </si>
  <si>
    <t xml:space="preserve">BIENESTAR INSTITUCIONAL </t>
  </si>
  <si>
    <t>MERCADEO, ADMISIONES  Y MATRÍCULA</t>
  </si>
  <si>
    <t>Expansión</t>
  </si>
  <si>
    <t>Experiencia</t>
  </si>
  <si>
    <t>Sostenibilidad</t>
  </si>
  <si>
    <t>Transformación organizacional</t>
  </si>
  <si>
    <t>Educación para toda la vida</t>
  </si>
  <si>
    <t>Institucional</t>
  </si>
  <si>
    <t>PLANEACIÓN POR RETOS</t>
  </si>
  <si>
    <t>Gestión de proyectos</t>
  </si>
  <si>
    <t>AGENDA DE PROYECTOS ESTRATÉGICOS</t>
  </si>
  <si>
    <t>MEDICIÓN DEL DESEMPEÑO A PARTIR DEL CUADRO DE MANDO INTEGRAL ESTRATÉGICO:</t>
  </si>
  <si>
    <t>CES</t>
  </si>
  <si>
    <t>CSAT</t>
  </si>
  <si>
    <t>NPS</t>
  </si>
  <si>
    <t>ANS</t>
  </si>
  <si>
    <t>FCR</t>
  </si>
  <si>
    <t>Estado general de proyectos</t>
  </si>
  <si>
    <t>Rendición de cuentas</t>
  </si>
  <si>
    <t>Contingencias jurídicas</t>
  </si>
  <si>
    <t>Beneficios otorgados a docentes y administrativos</t>
  </si>
  <si>
    <t>Actividades y eventos bienestar</t>
  </si>
  <si>
    <t>Cuponera de la felicidad</t>
  </si>
  <si>
    <t>Inversiones realizadas en torno a la estrategia</t>
  </si>
  <si>
    <t>Becas</t>
  </si>
  <si>
    <t>Índice de inclusión</t>
  </si>
  <si>
    <t>Número de graduados</t>
  </si>
  <si>
    <t>Participación de graduados en actividades por eje</t>
  </si>
  <si>
    <t>Participación en eventos de graduados</t>
  </si>
  <si>
    <t>Usuarios coworking</t>
  </si>
  <si>
    <t>Estudiante en prácticas</t>
  </si>
  <si>
    <t>Planeación por retos</t>
  </si>
  <si>
    <t>Agenda de proyectos estratégicos</t>
  </si>
  <si>
    <t>Medición del desempeño a partir del cuadro de mando integral estratégico:</t>
  </si>
  <si>
    <t>Plan de mejoramiento</t>
  </si>
  <si>
    <t>Aprobación de condiciones iniciales de programas académicos</t>
  </si>
  <si>
    <t>Elaboración de informes de autoevaluación en alta calidad de programas académicos</t>
  </si>
  <si>
    <t>Procesos de renovación de acreditación en alta calidad de programas académicos</t>
  </si>
  <si>
    <t>Evolución de la planta profesoral</t>
  </si>
  <si>
    <t>Evolución de la relación estudiante-docente tce</t>
  </si>
  <si>
    <t>Plan de formación profesoral</t>
  </si>
  <si>
    <t>Estudiantes en actividades de investigación</t>
  </si>
  <si>
    <t>Centros de investigación y transferencia</t>
  </si>
  <si>
    <t>Movilidad docente</t>
  </si>
  <si>
    <t>Eventos académicos</t>
  </si>
  <si>
    <t>Consultorías y asesorías</t>
  </si>
  <si>
    <t>Convenios</t>
  </si>
  <si>
    <t>Talleres y asesoria</t>
  </si>
  <si>
    <t>Consulta de recursos</t>
  </si>
  <si>
    <t>Documentos disponibles</t>
  </si>
  <si>
    <t>Eventos culturales</t>
  </si>
  <si>
    <t>Solicitudes y préstamos</t>
  </si>
  <si>
    <t>Portafolio académico</t>
  </si>
  <si>
    <t>Nuevos programas con registro calificado aprobado</t>
  </si>
  <si>
    <t>Programas que avanzan en el proceso de reforma curricular</t>
  </si>
  <si>
    <t>Modulos producidos</t>
  </si>
  <si>
    <t>Producción audiovisual</t>
  </si>
  <si>
    <t>Estudiantes nuevos</t>
  </si>
  <si>
    <t>Estudiantes antiguos, rematrícula</t>
  </si>
  <si>
    <t>Población estudiantil</t>
  </si>
  <si>
    <t>Centros de servicio universitario</t>
  </si>
  <si>
    <t>Indicadores de salud de marca</t>
  </si>
  <si>
    <t>Free press y reputación institucional</t>
  </si>
  <si>
    <t>Solicitudes, correos, portal web</t>
  </si>
  <si>
    <t>Agencia trompo</t>
  </si>
  <si>
    <t>Business-to-government – b2g - impactos</t>
  </si>
  <si>
    <t>Business-to-consumer – b2c - impactos</t>
  </si>
  <si>
    <t>Business-to-business b2b - impactos</t>
  </si>
  <si>
    <t>Opciones de grado - impactos</t>
  </si>
  <si>
    <t>Ces</t>
  </si>
  <si>
    <t>Csat</t>
  </si>
  <si>
    <t>Nps</t>
  </si>
  <si>
    <t>Ans</t>
  </si>
  <si>
    <t>Fcr</t>
  </si>
  <si>
    <t>Participantes en deportes</t>
  </si>
  <si>
    <t>Participantes en cultura</t>
  </si>
  <si>
    <t>Participantes en salud</t>
  </si>
  <si>
    <t>Construcción pdi 2026-2030</t>
  </si>
  <si>
    <t>Premios orgullosamente poli</t>
  </si>
  <si>
    <t>Sistema integrado de aseguramiento y gestión para la sostenibilidad – polisigs</t>
  </si>
  <si>
    <t>Auditoría interna</t>
  </si>
  <si>
    <t>Total colaboradores tipo de contrato</t>
  </si>
  <si>
    <t>Total administrativos tipo de contrato</t>
  </si>
  <si>
    <t>Great place to work</t>
  </si>
  <si>
    <t>Formación y desarrollo del talento humano</t>
  </si>
  <si>
    <t>Fortalecimiento de la estrategia de ciberseguridad</t>
  </si>
  <si>
    <t>Gestión de la infraestructura física</t>
  </si>
  <si>
    <t>Pasivo y patrimonio</t>
  </si>
  <si>
    <t>Auxilios educativos</t>
  </si>
  <si>
    <t>Desempeño ambiental</t>
  </si>
  <si>
    <t>Greenmetric world university ranking</t>
  </si>
  <si>
    <t>Cultura de protección y cuidado del ambiente. educación y comunicación ambiental</t>
  </si>
  <si>
    <t>Profesores escalafonados</t>
  </si>
  <si>
    <t>Resultados de evaluación 360</t>
  </si>
  <si>
    <t xml:space="preserve">Diferencias con boletin 
</t>
  </si>
  <si>
    <t>Diferencias de datos entre Kawak, Informe de sostenibilidad y Informe de gestión</t>
  </si>
  <si>
    <t>Categorización grupos de investigación</t>
  </si>
  <si>
    <t>Proyectos de investigación</t>
  </si>
  <si>
    <t>Productos de investigación</t>
  </si>
  <si>
    <t>Docentes investigadores</t>
  </si>
  <si>
    <t>Participación de estudiantes en eventos cientificos regionales, nacionales e internacionales</t>
  </si>
  <si>
    <t>Innovación</t>
  </si>
  <si>
    <t xml:space="preserve">Diferencias en las fuentes de información y reporte del proceso
</t>
  </si>
  <si>
    <t>Información del CATI se ajusto por periodos</t>
  </si>
  <si>
    <t>Renovación de programas académicos</t>
  </si>
  <si>
    <t xml:space="preserve">Diferencias con Kawak por ajustes en ficha tecnica, Resolución
</t>
  </si>
  <si>
    <t>Ajustes de información posterior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</si>
</sst>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10"/>
      <color rgb="FFFFFFFF"/>
      <name val="Arial"/>
      <family val="2"/>
    </font>
    <font>
      <b/>
      <sz val="11"/>
      <color rgb="FF1F3864"/>
      <name val="Arial"/>
      <family val="2"/>
    </font>
    <font>
      <b/>
      <sz val="10"/>
      <color rgb="FF2E74B5"/>
      <name val="Arial"/>
      <family val="2"/>
    </font>
    <font>
      <sz val="10"/>
      <color rgb="FF000000"/>
      <name val="Arial"/>
      <family val="2"/>
    </font>
    <font>
      <b/>
      <sz val="10"/>
      <color rgb="FF1F3864"/>
      <name val="Arial"/>
      <family val="2"/>
    </font>
    <font>
      <b/>
      <sz val="10"/>
      <color rgb="FF000000"/>
      <name val="Arial"/>
      <family val="2"/>
    </font>
    <font>
      <b/>
      <sz val="13"/>
      <color rgb="FFFFFFFF"/>
      <name val="Arial"/>
      <family val="2"/>
    </font>
    <font>
      <sz val="10"/>
      <color rgb="FF1F3864"/>
      <name val="Arial"/>
      <family val="2"/>
    </font>
    <font>
      <i/>
      <sz val="10"/>
      <color rgb="FF555555"/>
      <name val="Arial"/>
      <family val="2"/>
    </font>
    <font>
      <i/>
      <sz val="9"/>
      <color rgb="FFFFFFFF"/>
      <name val="Arial"/>
      <family val="2"/>
    </font>
    <font>
      <sz val="9"/>
      <color rgb="FF1F3864"/>
      <name val="Arial"/>
      <family val="2"/>
    </font>
    <font>
      <b/>
      <sz val="9"/>
      <color rgb="FFFFFFFF"/>
      <name val="Arial"/>
      <family val="2"/>
    </font>
    <font>
      <sz val="9"/>
      <color rgb="FF555555"/>
      <name val="Arial"/>
      <family val="2"/>
    </font>
    <font>
      <b/>
      <sz val="9"/>
      <color rgb="FF1F3864"/>
      <name val="Arial"/>
      <family val="2"/>
    </font>
    <font>
      <sz val="9"/>
      <color rgb="FF000000"/>
      <name val="Arial"/>
      <family val="2"/>
    </font>
    <font>
      <i/>
      <sz val="9"/>
      <color rgb="FF555555"/>
      <name val="Arial"/>
      <family val="2"/>
    </font>
    <font>
      <b/>
      <sz val="11"/>
      <color rgb="FFFFFFFF"/>
      <name val="Arial"/>
      <family val="2"/>
    </font>
    <font>
      <b/>
      <sz val="9"/>
      <color rgb="FFC0392B"/>
      <name val="Arial"/>
      <family val="2"/>
    </font>
    <font>
      <sz val="9"/>
      <color rgb="FF1E8449"/>
      <name val="Arial"/>
      <family val="2"/>
    </font>
    <font>
      <b/>
      <sz val="20"/>
      <color rgb="FF1F3864"/>
      <name val="Arial"/>
      <family val="2"/>
    </font>
    <font>
      <b/>
      <sz val="10"/>
      <color rgb="FFFFFFFF"/>
      <name val="Arial"/>
      <family val="2"/>
    </font>
    <font>
      <b/>
      <sz val="10"/>
      <color rgb="FFC0392B"/>
      <name val="Arial"/>
      <family val="2"/>
    </font>
    <font>
      <b/>
      <sz val="9"/>
      <color rgb="FF555555"/>
      <name val="Arial"/>
      <family val="2"/>
    </font>
    <font>
      <b/>
      <sz val="11"/>
      <color theme="1"/>
      <name val="Calibri"/>
      <family val="2"/>
      <scheme val="minor"/>
    </font>
    <font>
      <sz val="16"/>
      <color rgb="FF2F5496"/>
      <name val="Calibri Light"/>
      <family val="2"/>
    </font>
    <font>
      <sz val="7"/>
      <color rgb="FF2F5496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sz val="9"/>
      <name val="Tahoma"/>
      <family val="2"/>
    </font>
    <font>
      <b/>
      <sz val="11"/>
      <color rgb="FFFFFFFF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4B5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ADBD8"/>
      </patternFill>
    </fill>
    <fill>
      <patternFill patternType="solid">
        <fgColor rgb="FFEBF5FB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E8F4FD"/>
      </patternFill>
    </fill>
    <fill>
      <patternFill patternType="solid">
        <fgColor rgb="FFE8F8F5"/>
      </patternFill>
    </fill>
    <fill>
      <patternFill patternType="solid">
        <fgColor rgb="FFF4ECF7"/>
      </patternFill>
    </fill>
    <fill>
      <patternFill patternType="solid">
        <fgColor rgb="FFFDFEFE"/>
      </patternFill>
    </fill>
    <fill>
      <patternFill patternType="solid">
        <fgColor rgb="FFF9EBEA"/>
      </patternFill>
    </fill>
    <fill>
      <patternFill patternType="solid">
        <fgColor rgb="FFFEF5E7"/>
      </patternFill>
    </fill>
    <fill>
      <patternFill patternType="solid">
        <fgColor rgb="FF002060"/>
        <bgColor indexed="64"/>
      </patternFill>
    </fill>
    <fill>
      <patternFill patternType="solid">
        <fgColor rgb="FF4472C4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8" fillId="0" borderId="0" applyNumberFormat="0" applyFill="0" applyBorder="0" applyAlignment="0" applyProtection="0"/>
  </cellStyleXfs>
  <cellXfs count="77">
    <xf numFmtId="0" fontId="0" fillId="0" borderId="0" xfId="0"/>
    <xf numFmtId="0" fontId="4" fillId="0" borderId="0" xfId="0" applyFont="1" applyAlignment="1">
      <alignment horizontal="left" vertical="center" wrapText="1"/>
    </xf>
    <xf numFmtId="0" fontId="7" fillId="4" borderId="1" xfId="0" applyFont="1" applyFill="1" applyBorder="1"/>
    <xf numFmtId="0" fontId="7" fillId="5" borderId="1" xfId="0" applyFont="1" applyFill="1" applyBorder="1"/>
    <xf numFmtId="0" fontId="7" fillId="6" borderId="1" xfId="0" applyFont="1" applyFill="1" applyBorder="1"/>
    <xf numFmtId="0" fontId="7" fillId="7" borderId="1" xfId="0" applyFont="1" applyFill="1" applyBorder="1"/>
    <xf numFmtId="0" fontId="7" fillId="8" borderId="1" xfId="0" applyFont="1" applyFill="1" applyBorder="1"/>
    <xf numFmtId="0" fontId="6" fillId="8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left" vertical="center" wrapText="1"/>
    </xf>
    <xf numFmtId="0" fontId="16" fillId="10" borderId="1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5" fillId="11" borderId="1" xfId="0" applyFont="1" applyFill="1" applyBorder="1" applyAlignment="1">
      <alignment horizontal="left" vertical="center" wrapText="1"/>
    </xf>
    <xf numFmtId="0" fontId="16" fillId="11" borderId="1" xfId="0" applyFont="1" applyFill="1" applyBorder="1" applyAlignment="1">
      <alignment horizontal="left" vertical="center" wrapText="1"/>
    </xf>
    <xf numFmtId="0" fontId="15" fillId="12" borderId="1" xfId="0" applyFont="1" applyFill="1" applyBorder="1" applyAlignment="1">
      <alignment horizontal="left" vertical="center" wrapText="1"/>
    </xf>
    <xf numFmtId="0" fontId="16" fillId="12" borderId="1" xfId="0" applyFont="1" applyFill="1" applyBorder="1" applyAlignment="1">
      <alignment horizontal="left" vertical="center" wrapText="1"/>
    </xf>
    <xf numFmtId="0" fontId="15" fillId="13" borderId="1" xfId="0" applyFont="1" applyFill="1" applyBorder="1" applyAlignment="1">
      <alignment horizontal="left" vertical="center" wrapText="1"/>
    </xf>
    <xf numFmtId="0" fontId="16" fillId="13" borderId="1" xfId="0" applyFont="1" applyFill="1" applyBorder="1" applyAlignment="1">
      <alignment horizontal="left" vertical="center" wrapText="1"/>
    </xf>
    <xf numFmtId="0" fontId="17" fillId="13" borderId="1" xfId="0" applyFont="1" applyFill="1" applyBorder="1" applyAlignment="1">
      <alignment horizontal="left" vertical="center" wrapText="1"/>
    </xf>
    <xf numFmtId="0" fontId="15" fillId="14" borderId="1" xfId="0" applyFont="1" applyFill="1" applyBorder="1" applyAlignment="1">
      <alignment horizontal="left" vertical="center" wrapText="1"/>
    </xf>
    <xf numFmtId="0" fontId="16" fillId="14" borderId="1" xfId="0" applyFont="1" applyFill="1" applyBorder="1" applyAlignment="1">
      <alignment horizontal="left" vertical="center" wrapText="1"/>
    </xf>
    <xf numFmtId="0" fontId="17" fillId="14" borderId="1" xfId="0" applyFont="1" applyFill="1" applyBorder="1" applyAlignment="1">
      <alignment horizontal="left" vertical="center" wrapText="1"/>
    </xf>
    <xf numFmtId="0" fontId="15" fillId="15" borderId="1" xfId="0" applyFont="1" applyFill="1" applyBorder="1" applyAlignment="1">
      <alignment horizontal="left" vertical="center" wrapText="1"/>
    </xf>
    <xf numFmtId="0" fontId="16" fillId="15" borderId="1" xfId="0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19" fillId="6" borderId="1" xfId="0" applyFont="1" applyFill="1" applyBorder="1" applyAlignment="1">
      <alignment horizontal="left" vertical="center" wrapText="1"/>
    </xf>
    <xf numFmtId="0" fontId="20" fillId="4" borderId="1" xfId="0" applyFont="1" applyFill="1" applyBorder="1" applyAlignment="1">
      <alignment horizontal="left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0" fillId="0" borderId="0" xfId="0"/>
    <xf numFmtId="0" fontId="12" fillId="7" borderId="0" xfId="0" applyFont="1" applyFill="1" applyAlignment="1">
      <alignment horizontal="center" vertical="center" wrapText="1"/>
    </xf>
    <xf numFmtId="0" fontId="6" fillId="0" borderId="0" xfId="0" applyFont="1"/>
    <xf numFmtId="0" fontId="5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/>
    <xf numFmtId="0" fontId="9" fillId="9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14" fontId="9" fillId="9" borderId="1" xfId="0" applyNumberFormat="1" applyFont="1" applyFill="1" applyBorder="1" applyAlignment="1">
      <alignment horizontal="left" vertical="center" wrapText="1"/>
    </xf>
    <xf numFmtId="0" fontId="22" fillId="3" borderId="0" xfId="0" applyFont="1" applyFill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7" fillId="8" borderId="0" xfId="0" applyFont="1" applyFill="1" applyAlignment="1">
      <alignment horizontal="left" vertical="center" wrapText="1"/>
    </xf>
    <xf numFmtId="0" fontId="28" fillId="0" borderId="0" xfId="1" applyAlignment="1">
      <alignment horizontal="justify" vertical="center"/>
    </xf>
    <xf numFmtId="0" fontId="28" fillId="0" borderId="0" xfId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8" fillId="0" borderId="0" xfId="1" applyAlignment="1">
      <alignment horizontal="left" vertical="center" indent="1"/>
    </xf>
    <xf numFmtId="0" fontId="28" fillId="0" borderId="0" xfId="1" applyAlignment="1">
      <alignment horizontal="left" vertical="center" indent="3"/>
    </xf>
    <xf numFmtId="0" fontId="29" fillId="16" borderId="2" xfId="0" applyFont="1" applyFill="1" applyBorder="1" applyAlignment="1">
      <alignment horizontal="center" vertical="center"/>
    </xf>
    <xf numFmtId="0" fontId="0" fillId="0" borderId="2" xfId="0" applyBorder="1"/>
    <xf numFmtId="0" fontId="30" fillId="0" borderId="2" xfId="0" applyFont="1" applyBorder="1"/>
    <xf numFmtId="0" fontId="25" fillId="0" borderId="2" xfId="0" applyFont="1" applyBorder="1"/>
    <xf numFmtId="0" fontId="30" fillId="0" borderId="0" xfId="0" applyFont="1"/>
    <xf numFmtId="0" fontId="31" fillId="0" borderId="2" xfId="0" applyFont="1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32" fillId="17" borderId="2" xfId="0" applyFont="1" applyFill="1" applyBorder="1"/>
    <xf numFmtId="0" fontId="0" fillId="0" borderId="2" xfId="0" applyFont="1" applyBorder="1"/>
    <xf numFmtId="0" fontId="0" fillId="0" borderId="3" xfId="0" applyFill="1" applyBorder="1"/>
  </cellXfs>
  <cellStyles count="2">
    <cellStyle name="Hipervínculo" xfId="1" builtinId="8"/>
    <cellStyle name="Normal" xfId="0" builtinId="0"/>
  </cellStyles>
  <dxfs count="40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  <dxf>
      <font>
        <b/>
        <color rgb="FF1E8449"/>
        <name val="Arial"/>
      </font>
      <fill>
        <patternFill patternType="solid">
          <fgColor rgb="FFD5F5E3"/>
        </patternFill>
      </fill>
    </dxf>
    <dxf>
      <font>
        <b/>
        <color rgb="FFE67E22"/>
        <name val="Arial"/>
      </font>
      <fill>
        <patternFill patternType="solid">
          <fgColor rgb="FFFEF9E7"/>
        </patternFill>
      </fill>
    </dxf>
    <dxf>
      <font>
        <b/>
        <color rgb="FFC0392B"/>
        <name val="Arial"/>
      </font>
      <fill>
        <patternFill patternType="solid">
          <fgColor rgb="FFFADBD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mision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isiones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D20"/>
  <sheetViews>
    <sheetView showGridLines="0" workbookViewId="0">
      <selection activeCell="C11" sqref="C11:D11"/>
    </sheetView>
  </sheetViews>
  <sheetFormatPr baseColWidth="10" defaultColWidth="8.88671875" defaultRowHeight="14.4" x14ac:dyDescent="0.3"/>
  <cols>
    <col min="1" max="1" width="3" customWidth="1"/>
    <col min="2" max="2" width="28" customWidth="1"/>
    <col min="3" max="3" width="60" customWidth="1"/>
    <col min="4" max="4" width="22" customWidth="1"/>
  </cols>
  <sheetData>
    <row r="1" spans="2:4" ht="10.199999999999999" customHeight="1" x14ac:dyDescent="0.3"/>
    <row r="2" spans="2:4" ht="34.950000000000003" customHeight="1" x14ac:dyDescent="0.3">
      <c r="B2" s="49" t="s">
        <v>0</v>
      </c>
      <c r="C2" s="45"/>
      <c r="D2" s="45"/>
    </row>
    <row r="3" spans="2:4" ht="19.95" customHeight="1" x14ac:dyDescent="0.3">
      <c r="B3" s="50" t="s">
        <v>1</v>
      </c>
      <c r="C3" s="45"/>
      <c r="D3" s="45"/>
    </row>
    <row r="5" spans="2:4" ht="18" customHeight="1" x14ac:dyDescent="0.3">
      <c r="B5" s="51" t="s">
        <v>2</v>
      </c>
      <c r="C5" s="45"/>
      <c r="D5" s="45"/>
    </row>
    <row r="6" spans="2:4" ht="40.200000000000003" customHeight="1" x14ac:dyDescent="0.3">
      <c r="B6" s="1" t="s">
        <v>3</v>
      </c>
      <c r="C6" s="48" t="s">
        <v>4</v>
      </c>
      <c r="D6" s="45"/>
    </row>
    <row r="7" spans="2:4" ht="40.200000000000003" customHeight="1" x14ac:dyDescent="0.3">
      <c r="B7" s="1" t="s">
        <v>5</v>
      </c>
      <c r="C7" s="48" t="s">
        <v>6</v>
      </c>
      <c r="D7" s="45"/>
    </row>
    <row r="8" spans="2:4" ht="40.200000000000003" customHeight="1" x14ac:dyDescent="0.3">
      <c r="B8" s="1" t="s">
        <v>7</v>
      </c>
      <c r="C8" s="48" t="s">
        <v>8</v>
      </c>
      <c r="D8" s="45"/>
    </row>
    <row r="9" spans="2:4" ht="40.200000000000003" customHeight="1" x14ac:dyDescent="0.3">
      <c r="B9" s="1" t="s">
        <v>9</v>
      </c>
      <c r="C9" s="48" t="s">
        <v>10</v>
      </c>
      <c r="D9" s="45"/>
    </row>
    <row r="10" spans="2:4" ht="40.200000000000003" customHeight="1" x14ac:dyDescent="0.3">
      <c r="B10" s="1" t="s">
        <v>11</v>
      </c>
      <c r="C10" s="48" t="s">
        <v>12</v>
      </c>
      <c r="D10" s="45"/>
    </row>
    <row r="11" spans="2:4" ht="40.200000000000003" customHeight="1" x14ac:dyDescent="0.3">
      <c r="B11" s="1" t="s">
        <v>13</v>
      </c>
      <c r="C11" s="48" t="s">
        <v>14</v>
      </c>
      <c r="D11" s="45"/>
    </row>
    <row r="12" spans="2:4" ht="40.200000000000003" customHeight="1" x14ac:dyDescent="0.3">
      <c r="B12" s="1" t="s">
        <v>15</v>
      </c>
      <c r="C12" s="48" t="s">
        <v>16</v>
      </c>
      <c r="D12" s="45"/>
    </row>
    <row r="13" spans="2:4" ht="40.200000000000003" customHeight="1" x14ac:dyDescent="0.3">
      <c r="B13" s="1" t="s">
        <v>17</v>
      </c>
      <c r="C13" s="48" t="s">
        <v>18</v>
      </c>
      <c r="D13" s="45"/>
    </row>
    <row r="15" spans="2:4" ht="18" customHeight="1" x14ac:dyDescent="0.3">
      <c r="B15" s="47" t="s">
        <v>19</v>
      </c>
      <c r="C15" s="45"/>
      <c r="D15" s="45"/>
    </row>
    <row r="16" spans="2:4" ht="19.95" customHeight="1" x14ac:dyDescent="0.3">
      <c r="B16" s="2" t="s">
        <v>20</v>
      </c>
      <c r="C16" s="48" t="s">
        <v>21</v>
      </c>
      <c r="D16" s="45"/>
    </row>
    <row r="17" spans="2:4" ht="19.95" customHeight="1" x14ac:dyDescent="0.3">
      <c r="B17" s="3" t="s">
        <v>22</v>
      </c>
      <c r="C17" s="48" t="s">
        <v>23</v>
      </c>
      <c r="D17" s="45"/>
    </row>
    <row r="18" spans="2:4" ht="19.95" customHeight="1" x14ac:dyDescent="0.3">
      <c r="B18" s="4" t="s">
        <v>24</v>
      </c>
      <c r="C18" s="48" t="s">
        <v>25</v>
      </c>
      <c r="D18" s="45"/>
    </row>
    <row r="19" spans="2:4" ht="19.95" customHeight="1" x14ac:dyDescent="0.3">
      <c r="B19" s="5" t="s">
        <v>26</v>
      </c>
      <c r="C19" s="48" t="s">
        <v>27</v>
      </c>
      <c r="D19" s="45"/>
    </row>
    <row r="20" spans="2:4" ht="19.95" customHeight="1" x14ac:dyDescent="0.3">
      <c r="B20" s="6" t="s">
        <v>28</v>
      </c>
      <c r="C20" s="48" t="s">
        <v>29</v>
      </c>
      <c r="D20" s="45"/>
    </row>
  </sheetData>
  <mergeCells count="17">
    <mergeCell ref="C9:D9"/>
    <mergeCell ref="B15:D15"/>
    <mergeCell ref="C17:D17"/>
    <mergeCell ref="C18:D18"/>
    <mergeCell ref="B2:D2"/>
    <mergeCell ref="C20:D20"/>
    <mergeCell ref="C12:D12"/>
    <mergeCell ref="B3:D3"/>
    <mergeCell ref="B5:D5"/>
    <mergeCell ref="C6:D6"/>
    <mergeCell ref="C7:D7"/>
    <mergeCell ref="C10:D10"/>
    <mergeCell ref="C8:D8"/>
    <mergeCell ref="C16:D16"/>
    <mergeCell ref="C11:D11"/>
    <mergeCell ref="C19:D19"/>
    <mergeCell ref="C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4B5"/>
  </sheetPr>
  <dimension ref="B2:D14"/>
  <sheetViews>
    <sheetView showGridLines="0" workbookViewId="0">
      <selection activeCell="C12" sqref="C12:D12"/>
    </sheetView>
  </sheetViews>
  <sheetFormatPr baseColWidth="10" defaultColWidth="8.88671875" defaultRowHeight="14.4" x14ac:dyDescent="0.3"/>
  <cols>
    <col min="1" max="1" width="3" customWidth="1"/>
    <col min="2" max="2" width="35" customWidth="1"/>
    <col min="3" max="3" width="45" customWidth="1"/>
    <col min="4" max="4" width="20" customWidth="1"/>
  </cols>
  <sheetData>
    <row r="2" spans="2:4" ht="31.95" customHeight="1" x14ac:dyDescent="0.3">
      <c r="B2" s="43" t="s">
        <v>30</v>
      </c>
      <c r="C2" s="45"/>
      <c r="D2" s="45"/>
    </row>
    <row r="4" spans="2:4" ht="25.2" customHeight="1" x14ac:dyDescent="0.3">
      <c r="B4" s="7" t="s">
        <v>31</v>
      </c>
      <c r="C4" s="52">
        <v>2025</v>
      </c>
      <c r="D4" s="45"/>
    </row>
    <row r="5" spans="2:4" ht="25.2" customHeight="1" x14ac:dyDescent="0.3">
      <c r="B5" s="7" t="s">
        <v>32</v>
      </c>
      <c r="C5" s="52" t="s">
        <v>33</v>
      </c>
      <c r="D5" s="45"/>
    </row>
    <row r="6" spans="2:4" ht="25.2" customHeight="1" x14ac:dyDescent="0.3">
      <c r="B6" s="7" t="s">
        <v>34</v>
      </c>
      <c r="C6" s="54">
        <v>46054</v>
      </c>
      <c r="D6" s="45"/>
    </row>
    <row r="7" spans="2:4" ht="25.2" customHeight="1" x14ac:dyDescent="0.3">
      <c r="B7" s="7" t="s">
        <v>35</v>
      </c>
      <c r="C7" s="54">
        <v>46081</v>
      </c>
      <c r="D7" s="45"/>
    </row>
    <row r="8" spans="2:4" ht="25.2" customHeight="1" x14ac:dyDescent="0.3">
      <c r="B8" s="7" t="s">
        <v>36</v>
      </c>
      <c r="C8" s="52" t="s">
        <v>37</v>
      </c>
      <c r="D8" s="45"/>
    </row>
    <row r="9" spans="2:4" ht="25.2" customHeight="1" x14ac:dyDescent="0.3">
      <c r="B9" s="7" t="s">
        <v>38</v>
      </c>
      <c r="C9" s="53" t="s">
        <v>39</v>
      </c>
      <c r="D9" s="45"/>
    </row>
    <row r="10" spans="2:4" ht="25.2" customHeight="1" x14ac:dyDescent="0.3">
      <c r="B10" s="7" t="s">
        <v>40</v>
      </c>
      <c r="C10" s="53" t="s">
        <v>41</v>
      </c>
      <c r="D10" s="45"/>
    </row>
    <row r="11" spans="2:4" ht="25.2" customHeight="1" x14ac:dyDescent="0.3">
      <c r="B11" s="7" t="s">
        <v>42</v>
      </c>
      <c r="C11" s="53" t="s">
        <v>43</v>
      </c>
      <c r="D11" s="45"/>
    </row>
    <row r="12" spans="2:4" ht="25.2" customHeight="1" x14ac:dyDescent="0.3">
      <c r="B12" s="7" t="s">
        <v>44</v>
      </c>
      <c r="C12" s="53">
        <f>COUNTA('LISTA DE CHEQUEO'!C5:C157)</f>
        <v>114</v>
      </c>
      <c r="D12" s="45"/>
    </row>
    <row r="13" spans="2:4" ht="25.2" customHeight="1" x14ac:dyDescent="0.3">
      <c r="B13" s="7" t="s">
        <v>45</v>
      </c>
      <c r="C13" s="53">
        <f>COUNTIF(RESUMEN!D5:D200,"ALERTA")</f>
        <v>0</v>
      </c>
      <c r="D13" s="45"/>
    </row>
    <row r="14" spans="2:4" ht="25.2" customHeight="1" x14ac:dyDescent="0.3">
      <c r="B14" s="7" t="s">
        <v>46</v>
      </c>
      <c r="C14" s="53">
        <f>COUNTIF(RESUMEN!D5:D200,"SIN NOVEDAD")</f>
        <v>0</v>
      </c>
      <c r="D14" s="45"/>
    </row>
  </sheetData>
  <mergeCells count="12">
    <mergeCell ref="C5:D5"/>
    <mergeCell ref="C14:D14"/>
    <mergeCell ref="C13:D13"/>
    <mergeCell ref="C9:D9"/>
    <mergeCell ref="B2:D2"/>
    <mergeCell ref="C4:D4"/>
    <mergeCell ref="C12:D12"/>
    <mergeCell ref="C6:D6"/>
    <mergeCell ref="C7:D7"/>
    <mergeCell ref="C10:D10"/>
    <mergeCell ref="C8:D8"/>
    <mergeCell ref="C11:D11"/>
  </mergeCells>
  <dataValidations count="1">
    <dataValidation type="list" allowBlank="1" sqref="C5" xr:uid="{00000000-0002-0000-0100-000000000000}">
      <formula1>"T1-Marzo,T2-Junio,T3-Septiembre,T4-Diciembre"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8449"/>
  </sheetPr>
  <dimension ref="A1:Q118"/>
  <sheetViews>
    <sheetView showGridLines="0" tabSelected="1" workbookViewId="0">
      <pane xSplit="4" ySplit="5" topLeftCell="G6" activePane="bottomRight" state="frozen"/>
      <selection pane="topRight" activeCell="C13" sqref="C13:D13"/>
      <selection pane="bottomLeft" activeCell="C13" sqref="C13:D13"/>
      <selection pane="bottomRight" activeCell="I5" sqref="I5:M5"/>
    </sheetView>
  </sheetViews>
  <sheetFormatPr baseColWidth="10" defaultColWidth="8.88671875" defaultRowHeight="14.4" x14ac:dyDescent="0.3"/>
  <cols>
    <col min="1" max="1" width="9.5546875" customWidth="1"/>
    <col min="2" max="2" width="22" customWidth="1"/>
    <col min="3" max="3" width="30" customWidth="1"/>
    <col min="4" max="4" width="35" customWidth="1"/>
    <col min="5" max="6" width="22" customWidth="1"/>
    <col min="7" max="7" width="10.88671875" customWidth="1"/>
    <col min="8" max="8" width="12.44140625" customWidth="1"/>
    <col min="9" max="12" width="14" customWidth="1"/>
    <col min="13" max="13" width="12" customWidth="1"/>
    <col min="14" max="14" width="45" customWidth="1"/>
    <col min="15" max="15" width="35" customWidth="1"/>
    <col min="16" max="17" width="18" customWidth="1"/>
  </cols>
  <sheetData>
    <row r="1" spans="1:17" ht="30" customHeight="1" x14ac:dyDescent="0.3">
      <c r="A1" s="43" t="s">
        <v>47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</row>
    <row r="2" spans="1:17" ht="18" customHeight="1" x14ac:dyDescent="0.3">
      <c r="A2" s="44" t="s">
        <v>48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</row>
    <row r="3" spans="1:17" ht="16.2" customHeight="1" x14ac:dyDescent="0.3">
      <c r="A3" s="46" t="s">
        <v>49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</row>
    <row r="5" spans="1:17" ht="45" customHeight="1" x14ac:dyDescent="0.3">
      <c r="A5" s="8" t="s">
        <v>50</v>
      </c>
      <c r="B5" s="8" t="s">
        <v>54</v>
      </c>
      <c r="C5" s="8" t="s">
        <v>51</v>
      </c>
      <c r="D5" s="8" t="s">
        <v>53</v>
      </c>
      <c r="E5" s="8" t="s">
        <v>52</v>
      </c>
      <c r="F5" s="8" t="s">
        <v>55</v>
      </c>
      <c r="G5" s="8" t="s">
        <v>56</v>
      </c>
      <c r="H5" s="8" t="s">
        <v>57</v>
      </c>
      <c r="I5" s="8" t="s">
        <v>58</v>
      </c>
      <c r="J5" s="8" t="s">
        <v>59</v>
      </c>
      <c r="K5" s="8" t="s">
        <v>60</v>
      </c>
      <c r="L5" s="8" t="s">
        <v>61</v>
      </c>
      <c r="M5" s="8" t="s">
        <v>62</v>
      </c>
      <c r="N5" s="8" t="s">
        <v>63</v>
      </c>
      <c r="O5" s="8" t="s">
        <v>64</v>
      </c>
      <c r="P5" s="8" t="s">
        <v>65</v>
      </c>
      <c r="Q5" s="8" t="s">
        <v>66</v>
      </c>
    </row>
    <row r="6" spans="1:17" ht="30" customHeight="1" x14ac:dyDescent="0.3">
      <c r="A6" s="9">
        <v>1</v>
      </c>
      <c r="B6" s="11" t="s">
        <v>479</v>
      </c>
      <c r="C6" s="10" t="s">
        <v>41</v>
      </c>
      <c r="D6" s="12" t="s">
        <v>94</v>
      </c>
      <c r="E6" s="11" t="s">
        <v>100</v>
      </c>
      <c r="F6" s="11" t="s">
        <v>480</v>
      </c>
      <c r="G6" s="11"/>
      <c r="H6" s="11"/>
      <c r="I6" s="13" t="s">
        <v>69</v>
      </c>
      <c r="J6" s="13" t="s">
        <v>69</v>
      </c>
      <c r="K6" s="13" t="s">
        <v>69</v>
      </c>
      <c r="L6" s="13" t="s">
        <v>69</v>
      </c>
      <c r="M6" s="13" t="s">
        <v>69</v>
      </c>
      <c r="N6" s="14"/>
      <c r="O6" s="14"/>
      <c r="P6" s="15"/>
      <c r="Q6" s="16"/>
    </row>
    <row r="7" spans="1:17" ht="30" customHeight="1" x14ac:dyDescent="0.3">
      <c r="A7" s="9">
        <v>1</v>
      </c>
      <c r="B7" s="11" t="s">
        <v>479</v>
      </c>
      <c r="C7" s="10" t="s">
        <v>41</v>
      </c>
      <c r="D7" s="12" t="s">
        <v>94</v>
      </c>
      <c r="E7" s="11" t="s">
        <v>481</v>
      </c>
      <c r="F7" s="11" t="s">
        <v>482</v>
      </c>
      <c r="G7" s="11"/>
      <c r="H7" s="11"/>
      <c r="I7" s="13" t="s">
        <v>69</v>
      </c>
      <c r="J7" s="13" t="s">
        <v>69</v>
      </c>
      <c r="K7" s="13" t="s">
        <v>69</v>
      </c>
      <c r="L7" s="13" t="s">
        <v>69</v>
      </c>
      <c r="M7" s="13" t="s">
        <v>69</v>
      </c>
      <c r="N7" s="14"/>
      <c r="O7" s="14"/>
      <c r="P7" s="15"/>
      <c r="Q7" s="16"/>
    </row>
    <row r="8" spans="1:17" ht="30" customHeight="1" x14ac:dyDescent="0.3">
      <c r="A8" s="9">
        <v>1</v>
      </c>
      <c r="B8" s="11" t="s">
        <v>479</v>
      </c>
      <c r="C8" s="10" t="s">
        <v>41</v>
      </c>
      <c r="D8" s="12" t="s">
        <v>94</v>
      </c>
      <c r="E8" s="11" t="s">
        <v>101</v>
      </c>
      <c r="F8" s="11" t="s">
        <v>483</v>
      </c>
      <c r="G8" s="11"/>
      <c r="H8" s="11"/>
      <c r="I8" s="13" t="s">
        <v>69</v>
      </c>
      <c r="J8" s="13" t="s">
        <v>69</v>
      </c>
      <c r="K8" s="13" t="s">
        <v>69</v>
      </c>
      <c r="L8" s="13" t="s">
        <v>69</v>
      </c>
      <c r="M8" s="13" t="s">
        <v>69</v>
      </c>
      <c r="N8" s="14"/>
      <c r="O8" s="14"/>
      <c r="P8" s="15"/>
      <c r="Q8" s="16"/>
    </row>
    <row r="9" spans="1:17" ht="30" customHeight="1" x14ac:dyDescent="0.3">
      <c r="A9" s="9">
        <v>1</v>
      </c>
      <c r="B9" s="11" t="s">
        <v>479</v>
      </c>
      <c r="C9" s="10" t="s">
        <v>41</v>
      </c>
      <c r="D9" s="12" t="s">
        <v>94</v>
      </c>
      <c r="E9" s="11" t="s">
        <v>100</v>
      </c>
      <c r="F9" s="11" t="s">
        <v>252</v>
      </c>
      <c r="G9" s="11"/>
      <c r="H9" s="11"/>
      <c r="I9" s="13" t="s">
        <v>69</v>
      </c>
      <c r="J9" s="13" t="s">
        <v>69</v>
      </c>
      <c r="K9" s="13" t="s">
        <v>69</v>
      </c>
      <c r="L9" s="13" t="s">
        <v>69</v>
      </c>
      <c r="M9" s="13" t="s">
        <v>69</v>
      </c>
      <c r="N9" s="14"/>
      <c r="O9" s="14"/>
      <c r="P9" s="15"/>
      <c r="Q9" s="16"/>
    </row>
    <row r="10" spans="1:17" ht="30" customHeight="1" x14ac:dyDescent="0.3">
      <c r="A10" s="9">
        <v>26</v>
      </c>
      <c r="B10" s="24" t="s">
        <v>112</v>
      </c>
      <c r="C10" s="23" t="s">
        <v>79</v>
      </c>
      <c r="D10" s="25" t="s">
        <v>106</v>
      </c>
      <c r="E10" s="24" t="s">
        <v>107</v>
      </c>
      <c r="F10" s="24" t="s">
        <v>108</v>
      </c>
      <c r="G10" s="24" t="s">
        <v>114</v>
      </c>
      <c r="H10" s="24" t="s">
        <v>114</v>
      </c>
      <c r="I10" s="13" t="s">
        <v>69</v>
      </c>
      <c r="J10" s="13" t="s">
        <v>69</v>
      </c>
      <c r="K10" s="13" t="s">
        <v>72</v>
      </c>
      <c r="L10" s="13" t="s">
        <v>69</v>
      </c>
      <c r="M10" s="13" t="s">
        <v>69</v>
      </c>
      <c r="N10" s="14" t="s">
        <v>567</v>
      </c>
      <c r="O10" s="14"/>
      <c r="P10" s="15"/>
      <c r="Q10" s="16"/>
    </row>
    <row r="11" spans="1:17" ht="30" customHeight="1" x14ac:dyDescent="0.3">
      <c r="A11" s="9">
        <v>35</v>
      </c>
      <c r="B11" s="24" t="s">
        <v>112</v>
      </c>
      <c r="C11" s="23" t="s">
        <v>79</v>
      </c>
      <c r="D11" s="25" t="s">
        <v>106</v>
      </c>
      <c r="E11" s="24" t="s">
        <v>123</v>
      </c>
      <c r="F11" s="24" t="s">
        <v>123</v>
      </c>
      <c r="G11" s="24" t="s">
        <v>114</v>
      </c>
      <c r="H11" s="24" t="s">
        <v>114</v>
      </c>
      <c r="I11" s="13" t="s">
        <v>69</v>
      </c>
      <c r="J11" s="13" t="s">
        <v>69</v>
      </c>
      <c r="K11" s="13" t="s">
        <v>69</v>
      </c>
      <c r="L11" s="13" t="s">
        <v>69</v>
      </c>
      <c r="M11" s="13" t="s">
        <v>69</v>
      </c>
      <c r="N11" s="14"/>
      <c r="O11" s="14"/>
      <c r="P11" s="15"/>
      <c r="Q11" s="16"/>
    </row>
    <row r="12" spans="1:17" ht="30" customHeight="1" x14ac:dyDescent="0.3">
      <c r="A12" s="9">
        <v>51</v>
      </c>
      <c r="B12" s="24" t="s">
        <v>112</v>
      </c>
      <c r="C12" s="23" t="s">
        <v>79</v>
      </c>
      <c r="D12" s="25" t="s">
        <v>110</v>
      </c>
      <c r="E12" s="24" t="s">
        <v>141</v>
      </c>
      <c r="F12" s="24" t="s">
        <v>142</v>
      </c>
      <c r="G12" s="24" t="s">
        <v>114</v>
      </c>
      <c r="H12" s="24"/>
      <c r="I12" s="13" t="s">
        <v>69</v>
      </c>
      <c r="J12" s="13" t="s">
        <v>69</v>
      </c>
      <c r="K12" s="13" t="s">
        <v>69</v>
      </c>
      <c r="L12" s="13" t="s">
        <v>69</v>
      </c>
      <c r="M12" s="13" t="s">
        <v>69</v>
      </c>
      <c r="N12" s="14"/>
      <c r="O12" s="14"/>
      <c r="P12" s="15"/>
      <c r="Q12" s="16"/>
    </row>
    <row r="13" spans="1:17" ht="30" customHeight="1" x14ac:dyDescent="0.3">
      <c r="A13" s="9">
        <v>52</v>
      </c>
      <c r="B13" s="24" t="s">
        <v>112</v>
      </c>
      <c r="C13" s="26" t="s">
        <v>103</v>
      </c>
      <c r="D13" s="28" t="s">
        <v>98</v>
      </c>
      <c r="E13" s="27" t="s">
        <v>143</v>
      </c>
      <c r="F13" s="27" t="s">
        <v>144</v>
      </c>
      <c r="G13" s="27"/>
      <c r="H13" s="27"/>
      <c r="I13" s="13" t="s">
        <v>69</v>
      </c>
      <c r="J13" s="13" t="s">
        <v>69</v>
      </c>
      <c r="K13" s="13" t="s">
        <v>85</v>
      </c>
      <c r="L13" s="13" t="s">
        <v>69</v>
      </c>
      <c r="M13" s="13" t="s">
        <v>69</v>
      </c>
      <c r="N13" s="14" t="s">
        <v>578</v>
      </c>
      <c r="O13" s="14"/>
      <c r="P13" s="15"/>
      <c r="Q13" s="16"/>
    </row>
    <row r="14" spans="1:17" ht="30" customHeight="1" x14ac:dyDescent="0.3">
      <c r="A14" s="9">
        <v>51</v>
      </c>
      <c r="B14" s="24" t="s">
        <v>112</v>
      </c>
      <c r="C14" s="23" t="s">
        <v>79</v>
      </c>
      <c r="D14" s="25" t="s">
        <v>110</v>
      </c>
      <c r="E14" s="24" t="s">
        <v>141</v>
      </c>
      <c r="F14" s="24" t="s">
        <v>145</v>
      </c>
      <c r="G14" s="24" t="s">
        <v>114</v>
      </c>
      <c r="H14" s="24" t="s">
        <v>114</v>
      </c>
      <c r="I14" s="13" t="s">
        <v>69</v>
      </c>
      <c r="J14" s="13" t="s">
        <v>69</v>
      </c>
      <c r="K14" s="13" t="s">
        <v>69</v>
      </c>
      <c r="L14" s="13" t="s">
        <v>69</v>
      </c>
      <c r="M14" s="13" t="s">
        <v>69</v>
      </c>
      <c r="N14" s="14"/>
      <c r="O14" s="14"/>
      <c r="P14" s="15"/>
      <c r="Q14" s="16"/>
    </row>
    <row r="15" spans="1:17" ht="30" customHeight="1" x14ac:dyDescent="0.3">
      <c r="A15" s="9">
        <v>52</v>
      </c>
      <c r="B15" s="24" t="s">
        <v>112</v>
      </c>
      <c r="C15" s="26" t="s">
        <v>103</v>
      </c>
      <c r="D15" s="28" t="s">
        <v>98</v>
      </c>
      <c r="E15" s="27" t="s">
        <v>143</v>
      </c>
      <c r="F15" s="27" t="s">
        <v>528</v>
      </c>
      <c r="G15" s="27"/>
      <c r="H15" s="27"/>
      <c r="I15" s="13" t="s">
        <v>69</v>
      </c>
      <c r="J15" s="13" t="s">
        <v>69</v>
      </c>
      <c r="K15" s="13" t="s">
        <v>85</v>
      </c>
      <c r="L15" s="13" t="s">
        <v>69</v>
      </c>
      <c r="M15" s="13" t="s">
        <v>69</v>
      </c>
      <c r="N15" s="14" t="s">
        <v>578</v>
      </c>
      <c r="O15" s="14"/>
      <c r="P15" s="15"/>
      <c r="Q15" s="16"/>
    </row>
    <row r="16" spans="1:17" ht="30" customHeight="1" x14ac:dyDescent="0.3">
      <c r="A16" s="9">
        <v>28</v>
      </c>
      <c r="B16" s="24" t="s">
        <v>112</v>
      </c>
      <c r="C16" s="23" t="s">
        <v>79</v>
      </c>
      <c r="D16" s="25" t="s">
        <v>110</v>
      </c>
      <c r="E16" s="24" t="s">
        <v>111</v>
      </c>
      <c r="F16" s="24" t="s">
        <v>510</v>
      </c>
      <c r="G16" s="24" t="s">
        <v>114</v>
      </c>
      <c r="H16" s="24" t="s">
        <v>114</v>
      </c>
      <c r="I16" s="13" t="s">
        <v>69</v>
      </c>
      <c r="J16" s="13" t="s">
        <v>69</v>
      </c>
      <c r="K16" s="13" t="s">
        <v>72</v>
      </c>
      <c r="L16" s="13" t="s">
        <v>69</v>
      </c>
      <c r="M16" s="13" t="s">
        <v>69</v>
      </c>
      <c r="N16" s="14" t="s">
        <v>566</v>
      </c>
      <c r="O16" s="14" t="s">
        <v>115</v>
      </c>
      <c r="P16" s="15"/>
      <c r="Q16" s="16"/>
    </row>
    <row r="17" spans="1:17" ht="30" customHeight="1" x14ac:dyDescent="0.3">
      <c r="A17" s="9">
        <v>28</v>
      </c>
      <c r="B17" s="24" t="s">
        <v>112</v>
      </c>
      <c r="C17" s="23" t="s">
        <v>79</v>
      </c>
      <c r="D17" s="25" t="s">
        <v>110</v>
      </c>
      <c r="E17" s="24" t="s">
        <v>111</v>
      </c>
      <c r="F17" s="24" t="s">
        <v>113</v>
      </c>
      <c r="G17" s="24" t="s">
        <v>114</v>
      </c>
      <c r="H17" s="24" t="s">
        <v>114</v>
      </c>
      <c r="I17" s="13" t="s">
        <v>69</v>
      </c>
      <c r="J17" s="13" t="s">
        <v>69</v>
      </c>
      <c r="K17" s="13" t="s">
        <v>69</v>
      </c>
      <c r="L17" s="13" t="s">
        <v>69</v>
      </c>
      <c r="M17" s="13" t="s">
        <v>69</v>
      </c>
      <c r="N17" s="14"/>
      <c r="O17" s="14"/>
      <c r="P17" s="15"/>
      <c r="Q17" s="16"/>
    </row>
    <row r="18" spans="1:17" ht="30" customHeight="1" x14ac:dyDescent="0.3">
      <c r="A18" s="9">
        <v>28</v>
      </c>
      <c r="B18" s="24" t="s">
        <v>112</v>
      </c>
      <c r="C18" s="23" t="s">
        <v>79</v>
      </c>
      <c r="D18" s="25" t="s">
        <v>110</v>
      </c>
      <c r="E18" s="24" t="s">
        <v>111</v>
      </c>
      <c r="F18" s="24" t="s">
        <v>511</v>
      </c>
      <c r="G18" s="24" t="s">
        <v>114</v>
      </c>
      <c r="H18" s="24" t="s">
        <v>114</v>
      </c>
      <c r="I18" s="13" t="s">
        <v>69</v>
      </c>
      <c r="J18" s="13" t="s">
        <v>69</v>
      </c>
      <c r="K18" s="13" t="s">
        <v>69</v>
      </c>
      <c r="L18" s="13" t="s">
        <v>69</v>
      </c>
      <c r="M18" s="13" t="s">
        <v>69</v>
      </c>
      <c r="N18" s="14"/>
      <c r="O18" s="14"/>
      <c r="P18" s="15"/>
      <c r="Q18" s="16"/>
    </row>
    <row r="19" spans="1:17" ht="30" customHeight="1" x14ac:dyDescent="0.3">
      <c r="A19" s="9">
        <v>28</v>
      </c>
      <c r="B19" s="24" t="s">
        <v>112</v>
      </c>
      <c r="C19" s="23" t="s">
        <v>79</v>
      </c>
      <c r="D19" s="25" t="s">
        <v>110</v>
      </c>
      <c r="E19" s="24" t="s">
        <v>111</v>
      </c>
      <c r="F19" s="24" t="s">
        <v>564</v>
      </c>
      <c r="G19" s="24" t="s">
        <v>114</v>
      </c>
      <c r="H19" s="24" t="s">
        <v>114</v>
      </c>
      <c r="I19" s="13" t="s">
        <v>69</v>
      </c>
      <c r="J19" s="13" t="s">
        <v>69</v>
      </c>
      <c r="K19" s="13" t="s">
        <v>69</v>
      </c>
      <c r="L19" s="13" t="s">
        <v>69</v>
      </c>
      <c r="M19" s="13" t="s">
        <v>69</v>
      </c>
      <c r="N19" s="14"/>
      <c r="O19" s="14"/>
      <c r="P19" s="15"/>
      <c r="Q19" s="16"/>
    </row>
    <row r="20" spans="1:17" ht="30" customHeight="1" x14ac:dyDescent="0.3">
      <c r="A20" s="9">
        <v>28</v>
      </c>
      <c r="B20" s="24" t="s">
        <v>112</v>
      </c>
      <c r="C20" s="23" t="s">
        <v>79</v>
      </c>
      <c r="D20" s="25" t="s">
        <v>110</v>
      </c>
      <c r="E20" s="24" t="s">
        <v>111</v>
      </c>
      <c r="F20" s="24" t="s">
        <v>565</v>
      </c>
      <c r="G20" s="24" t="s">
        <v>114</v>
      </c>
      <c r="H20" s="24" t="s">
        <v>114</v>
      </c>
      <c r="I20" s="13" t="s">
        <v>69</v>
      </c>
      <c r="J20" s="13" t="s">
        <v>69</v>
      </c>
      <c r="K20" s="13" t="s">
        <v>69</v>
      </c>
      <c r="L20" s="13" t="s">
        <v>69</v>
      </c>
      <c r="M20" s="13" t="s">
        <v>69</v>
      </c>
      <c r="N20" s="14"/>
      <c r="O20" s="14"/>
      <c r="P20" s="15"/>
      <c r="Q20" s="16"/>
    </row>
    <row r="21" spans="1:17" ht="30" customHeight="1" x14ac:dyDescent="0.3">
      <c r="A21" s="9">
        <v>28</v>
      </c>
      <c r="B21" s="24" t="s">
        <v>112</v>
      </c>
      <c r="C21" s="23" t="s">
        <v>79</v>
      </c>
      <c r="D21" s="25" t="s">
        <v>110</v>
      </c>
      <c r="E21" s="24" t="s">
        <v>111</v>
      </c>
      <c r="F21" s="24" t="s">
        <v>512</v>
      </c>
      <c r="G21" s="24" t="s">
        <v>114</v>
      </c>
      <c r="H21" s="24" t="s">
        <v>114</v>
      </c>
      <c r="I21" s="13" t="s">
        <v>69</v>
      </c>
      <c r="J21" s="13" t="s">
        <v>69</v>
      </c>
      <c r="K21" s="13" t="s">
        <v>69</v>
      </c>
      <c r="L21" s="13" t="s">
        <v>69</v>
      </c>
      <c r="M21" s="13" t="s">
        <v>69</v>
      </c>
      <c r="N21" s="14"/>
      <c r="O21" s="14"/>
      <c r="P21" s="15"/>
      <c r="Q21" s="16"/>
    </row>
    <row r="22" spans="1:17" ht="30" customHeight="1" x14ac:dyDescent="0.3">
      <c r="A22" s="9">
        <v>51</v>
      </c>
      <c r="B22" s="24" t="s">
        <v>112</v>
      </c>
      <c r="C22" s="23" t="s">
        <v>79</v>
      </c>
      <c r="D22" s="25" t="s">
        <v>110</v>
      </c>
      <c r="E22" s="24" t="s">
        <v>141</v>
      </c>
      <c r="F22" s="24" t="s">
        <v>516</v>
      </c>
      <c r="G22" s="24" t="s">
        <v>114</v>
      </c>
      <c r="H22" s="24" t="s">
        <v>114</v>
      </c>
      <c r="I22" s="13" t="s">
        <v>69</v>
      </c>
      <c r="J22" s="13" t="s">
        <v>69</v>
      </c>
      <c r="K22" s="13" t="s">
        <v>69</v>
      </c>
      <c r="L22" s="13" t="s">
        <v>69</v>
      </c>
      <c r="M22" s="13" t="s">
        <v>69</v>
      </c>
      <c r="N22" s="14"/>
      <c r="O22" s="14"/>
      <c r="P22" s="15"/>
      <c r="Q22" s="16"/>
    </row>
    <row r="23" spans="1:17" ht="30" customHeight="1" x14ac:dyDescent="0.3">
      <c r="A23" s="9">
        <v>51</v>
      </c>
      <c r="B23" s="24" t="s">
        <v>112</v>
      </c>
      <c r="C23" s="23" t="s">
        <v>79</v>
      </c>
      <c r="D23" s="25" t="s">
        <v>110</v>
      </c>
      <c r="E23" s="24" t="s">
        <v>141</v>
      </c>
      <c r="F23" s="24" t="s">
        <v>517</v>
      </c>
      <c r="G23" s="24" t="s">
        <v>114</v>
      </c>
      <c r="H23" s="24" t="s">
        <v>114</v>
      </c>
      <c r="I23" s="13" t="s">
        <v>69</v>
      </c>
      <c r="J23" s="13" t="s">
        <v>69</v>
      </c>
      <c r="K23" s="13" t="s">
        <v>69</v>
      </c>
      <c r="L23" s="13" t="s">
        <v>69</v>
      </c>
      <c r="M23" s="13" t="s">
        <v>69</v>
      </c>
      <c r="N23" s="14"/>
      <c r="O23" s="14"/>
      <c r="P23" s="15"/>
      <c r="Q23" s="16"/>
    </row>
    <row r="24" spans="1:17" ht="30" customHeight="1" x14ac:dyDescent="0.3">
      <c r="A24" s="9">
        <v>51</v>
      </c>
      <c r="B24" s="24" t="s">
        <v>112</v>
      </c>
      <c r="C24" s="23" t="s">
        <v>79</v>
      </c>
      <c r="D24" s="25" t="s">
        <v>110</v>
      </c>
      <c r="E24" s="24" t="s">
        <v>141</v>
      </c>
      <c r="F24" s="24" t="s">
        <v>518</v>
      </c>
      <c r="G24" s="24" t="s">
        <v>114</v>
      </c>
      <c r="H24" s="24" t="s">
        <v>114</v>
      </c>
      <c r="I24" s="13" t="s">
        <v>69</v>
      </c>
      <c r="J24" s="13" t="s">
        <v>69</v>
      </c>
      <c r="K24" s="13" t="s">
        <v>69</v>
      </c>
      <c r="L24" s="13" t="s">
        <v>69</v>
      </c>
      <c r="M24" s="13" t="s">
        <v>69</v>
      </c>
      <c r="N24" s="14"/>
      <c r="O24" s="14"/>
      <c r="P24" s="15"/>
      <c r="Q24" s="16"/>
    </row>
    <row r="25" spans="1:17" ht="30" customHeight="1" x14ac:dyDescent="0.3">
      <c r="A25" s="9">
        <v>10</v>
      </c>
      <c r="B25" s="24" t="s">
        <v>112</v>
      </c>
      <c r="C25" s="23" t="s">
        <v>79</v>
      </c>
      <c r="D25" s="25" t="s">
        <v>83</v>
      </c>
      <c r="E25" s="24" t="s">
        <v>84</v>
      </c>
      <c r="F25" s="24" t="s">
        <v>568</v>
      </c>
      <c r="G25" s="24"/>
      <c r="H25" s="24" t="s">
        <v>114</v>
      </c>
      <c r="I25" s="13" t="s">
        <v>69</v>
      </c>
      <c r="J25" s="13" t="s">
        <v>69</v>
      </c>
      <c r="K25" s="13" t="s">
        <v>85</v>
      </c>
      <c r="L25" s="13" t="s">
        <v>69</v>
      </c>
      <c r="M25" s="13" t="s">
        <v>69</v>
      </c>
      <c r="N25" s="14" t="s">
        <v>574</v>
      </c>
      <c r="O25" s="14"/>
      <c r="P25" s="15"/>
      <c r="Q25" s="16"/>
    </row>
    <row r="26" spans="1:17" ht="30" customHeight="1" x14ac:dyDescent="0.3">
      <c r="A26" s="9">
        <v>10</v>
      </c>
      <c r="B26" s="24" t="s">
        <v>112</v>
      </c>
      <c r="C26" s="23" t="s">
        <v>79</v>
      </c>
      <c r="D26" s="25" t="s">
        <v>83</v>
      </c>
      <c r="E26" s="24" t="s">
        <v>84</v>
      </c>
      <c r="F26" s="24" t="s">
        <v>569</v>
      </c>
      <c r="G26" s="24"/>
      <c r="H26" s="24" t="s">
        <v>114</v>
      </c>
      <c r="I26" s="13" t="s">
        <v>69</v>
      </c>
      <c r="J26" s="13" t="s">
        <v>69</v>
      </c>
      <c r="K26" s="13" t="s">
        <v>85</v>
      </c>
      <c r="L26" s="13" t="s">
        <v>69</v>
      </c>
      <c r="M26" s="13" t="s">
        <v>69</v>
      </c>
      <c r="N26" s="14" t="s">
        <v>574</v>
      </c>
      <c r="O26" s="14"/>
      <c r="P26" s="15"/>
      <c r="Q26" s="16"/>
    </row>
    <row r="27" spans="1:17" ht="30" customHeight="1" x14ac:dyDescent="0.3">
      <c r="A27" s="9">
        <v>10</v>
      </c>
      <c r="B27" s="24" t="s">
        <v>112</v>
      </c>
      <c r="C27" s="23" t="s">
        <v>79</v>
      </c>
      <c r="D27" s="25" t="s">
        <v>83</v>
      </c>
      <c r="E27" s="24" t="s">
        <v>84</v>
      </c>
      <c r="F27" s="24" t="s">
        <v>570</v>
      </c>
      <c r="G27" s="24"/>
      <c r="H27" s="24" t="s">
        <v>114</v>
      </c>
      <c r="I27" s="13" t="s">
        <v>69</v>
      </c>
      <c r="J27" s="13" t="s">
        <v>69</v>
      </c>
      <c r="K27" s="13" t="s">
        <v>85</v>
      </c>
      <c r="L27" s="13" t="s">
        <v>69</v>
      </c>
      <c r="M27" s="13" t="s">
        <v>69</v>
      </c>
      <c r="N27" s="14" t="s">
        <v>574</v>
      </c>
      <c r="O27" s="14"/>
      <c r="P27" s="15"/>
      <c r="Q27" s="16"/>
    </row>
    <row r="28" spans="1:17" ht="30" customHeight="1" x14ac:dyDescent="0.3">
      <c r="A28" s="9">
        <v>10</v>
      </c>
      <c r="B28" s="24" t="s">
        <v>112</v>
      </c>
      <c r="C28" s="23" t="s">
        <v>79</v>
      </c>
      <c r="D28" s="25" t="s">
        <v>83</v>
      </c>
      <c r="E28" s="24" t="s">
        <v>84</v>
      </c>
      <c r="F28" s="24" t="s">
        <v>571</v>
      </c>
      <c r="G28" s="24"/>
      <c r="H28" s="24" t="s">
        <v>114</v>
      </c>
      <c r="I28" s="13" t="s">
        <v>69</v>
      </c>
      <c r="J28" s="13" t="s">
        <v>69</v>
      </c>
      <c r="K28" s="13" t="s">
        <v>69</v>
      </c>
      <c r="L28" s="13" t="s">
        <v>69</v>
      </c>
      <c r="M28" s="13" t="s">
        <v>69</v>
      </c>
      <c r="N28" s="14"/>
      <c r="O28" s="14"/>
      <c r="P28" s="15"/>
      <c r="Q28" s="16"/>
    </row>
    <row r="29" spans="1:17" ht="30" customHeight="1" x14ac:dyDescent="0.3">
      <c r="A29" s="9">
        <v>10</v>
      </c>
      <c r="B29" s="24" t="s">
        <v>112</v>
      </c>
      <c r="C29" s="23" t="s">
        <v>79</v>
      </c>
      <c r="D29" s="25" t="s">
        <v>83</v>
      </c>
      <c r="E29" s="24" t="s">
        <v>84</v>
      </c>
      <c r="F29" s="24" t="s">
        <v>513</v>
      </c>
      <c r="G29" s="24"/>
      <c r="H29" s="24" t="s">
        <v>114</v>
      </c>
      <c r="I29" s="13" t="s">
        <v>69</v>
      </c>
      <c r="J29" s="13" t="s">
        <v>69</v>
      </c>
      <c r="K29" s="13" t="s">
        <v>69</v>
      </c>
      <c r="L29" s="13" t="s">
        <v>69</v>
      </c>
      <c r="M29" s="13" t="s">
        <v>69</v>
      </c>
      <c r="N29" s="14"/>
      <c r="O29" s="14"/>
      <c r="P29" s="15"/>
      <c r="Q29" s="16"/>
    </row>
    <row r="30" spans="1:17" ht="30" customHeight="1" x14ac:dyDescent="0.3">
      <c r="A30" s="9">
        <v>10</v>
      </c>
      <c r="B30" s="24" t="s">
        <v>112</v>
      </c>
      <c r="C30" s="23" t="s">
        <v>79</v>
      </c>
      <c r="D30" s="25" t="s">
        <v>83</v>
      </c>
      <c r="E30" s="24" t="s">
        <v>84</v>
      </c>
      <c r="F30" s="24" t="s">
        <v>572</v>
      </c>
      <c r="G30" s="24"/>
      <c r="H30" s="24" t="s">
        <v>114</v>
      </c>
      <c r="I30" s="13" t="s">
        <v>69</v>
      </c>
      <c r="J30" s="13" t="s">
        <v>69</v>
      </c>
      <c r="K30" s="13" t="s">
        <v>69</v>
      </c>
      <c r="L30" s="13" t="s">
        <v>69</v>
      </c>
      <c r="M30" s="13" t="s">
        <v>69</v>
      </c>
      <c r="N30" s="14"/>
      <c r="O30" s="14"/>
      <c r="P30" s="15"/>
      <c r="Q30" s="16"/>
    </row>
    <row r="31" spans="1:17" ht="30" customHeight="1" x14ac:dyDescent="0.3">
      <c r="A31" s="9">
        <v>10</v>
      </c>
      <c r="B31" s="24" t="s">
        <v>112</v>
      </c>
      <c r="C31" s="23" t="s">
        <v>79</v>
      </c>
      <c r="D31" s="25" t="s">
        <v>83</v>
      </c>
      <c r="E31" s="24" t="s">
        <v>84</v>
      </c>
      <c r="F31" s="24" t="s">
        <v>514</v>
      </c>
      <c r="G31" s="24"/>
      <c r="H31" s="24" t="s">
        <v>114</v>
      </c>
      <c r="I31" s="13" t="s">
        <v>69</v>
      </c>
      <c r="J31" s="13" t="s">
        <v>69</v>
      </c>
      <c r="K31" s="13" t="s">
        <v>72</v>
      </c>
      <c r="L31" s="13" t="s">
        <v>69</v>
      </c>
      <c r="M31" s="13" t="s">
        <v>69</v>
      </c>
      <c r="N31" s="14" t="s">
        <v>575</v>
      </c>
      <c r="O31" s="14"/>
      <c r="P31" s="15"/>
      <c r="Q31" s="16"/>
    </row>
    <row r="32" spans="1:17" ht="30" customHeight="1" x14ac:dyDescent="0.3">
      <c r="A32" s="9">
        <v>10</v>
      </c>
      <c r="B32" s="24" t="s">
        <v>112</v>
      </c>
      <c r="C32" s="23" t="s">
        <v>79</v>
      </c>
      <c r="D32" s="25" t="s">
        <v>83</v>
      </c>
      <c r="E32" s="24" t="s">
        <v>84</v>
      </c>
      <c r="F32" s="24" t="s">
        <v>573</v>
      </c>
      <c r="G32" s="24"/>
      <c r="H32" s="24" t="s">
        <v>114</v>
      </c>
      <c r="I32" s="13" t="s">
        <v>69</v>
      </c>
      <c r="J32" s="13" t="s">
        <v>69</v>
      </c>
      <c r="K32" s="13" t="s">
        <v>69</v>
      </c>
      <c r="L32" s="13" t="s">
        <v>69</v>
      </c>
      <c r="M32" s="13" t="s">
        <v>69</v>
      </c>
      <c r="N32" s="14"/>
      <c r="O32" s="14"/>
      <c r="P32" s="15"/>
      <c r="Q32" s="16"/>
    </row>
    <row r="33" spans="1:17" ht="30" customHeight="1" x14ac:dyDescent="0.3">
      <c r="A33" s="9">
        <v>10</v>
      </c>
      <c r="B33" s="24" t="s">
        <v>112</v>
      </c>
      <c r="C33" s="23" t="s">
        <v>79</v>
      </c>
      <c r="D33" s="25" t="s">
        <v>80</v>
      </c>
      <c r="E33" s="24" t="s">
        <v>80</v>
      </c>
      <c r="F33" s="24" t="s">
        <v>215</v>
      </c>
      <c r="G33" s="24"/>
      <c r="H33" s="24" t="s">
        <v>114</v>
      </c>
      <c r="I33" s="13" t="s">
        <v>69</v>
      </c>
      <c r="J33" s="13" t="s">
        <v>69</v>
      </c>
      <c r="K33" s="13" t="s">
        <v>69</v>
      </c>
      <c r="L33" s="13" t="s">
        <v>69</v>
      </c>
      <c r="M33" s="13" t="s">
        <v>69</v>
      </c>
      <c r="N33" s="14"/>
      <c r="O33" s="14"/>
      <c r="P33" s="15"/>
      <c r="Q33" s="16"/>
    </row>
    <row r="34" spans="1:17" ht="30" customHeight="1" x14ac:dyDescent="0.3">
      <c r="A34" s="9">
        <v>10</v>
      </c>
      <c r="B34" s="24" t="s">
        <v>112</v>
      </c>
      <c r="C34" s="23" t="s">
        <v>79</v>
      </c>
      <c r="D34" s="25" t="s">
        <v>80</v>
      </c>
      <c r="E34" s="24" t="s">
        <v>80</v>
      </c>
      <c r="F34" s="24" t="s">
        <v>515</v>
      </c>
      <c r="G34" s="24"/>
      <c r="H34" s="24" t="s">
        <v>114</v>
      </c>
      <c r="I34" s="13" t="s">
        <v>69</v>
      </c>
      <c r="J34" s="13" t="s">
        <v>69</v>
      </c>
      <c r="K34" s="13" t="s">
        <v>69</v>
      </c>
      <c r="L34" s="13" t="s">
        <v>69</v>
      </c>
      <c r="M34" s="13" t="s">
        <v>69</v>
      </c>
      <c r="N34" s="14"/>
      <c r="O34" s="14"/>
      <c r="P34" s="15"/>
      <c r="Q34" s="16"/>
    </row>
    <row r="35" spans="1:17" ht="30" customHeight="1" x14ac:dyDescent="0.3">
      <c r="A35" s="9">
        <v>10</v>
      </c>
      <c r="B35" s="24" t="s">
        <v>112</v>
      </c>
      <c r="C35" s="23" t="s">
        <v>79</v>
      </c>
      <c r="D35" s="25" t="s">
        <v>80</v>
      </c>
      <c r="E35" s="24" t="s">
        <v>80</v>
      </c>
      <c r="F35" s="24" t="s">
        <v>216</v>
      </c>
      <c r="G35" s="24"/>
      <c r="H35" s="24" t="s">
        <v>114</v>
      </c>
      <c r="I35" s="13" t="s">
        <v>69</v>
      </c>
      <c r="J35" s="13" t="s">
        <v>69</v>
      </c>
      <c r="K35" s="13" t="s">
        <v>69</v>
      </c>
      <c r="L35" s="13" t="s">
        <v>69</v>
      </c>
      <c r="M35" s="13" t="s">
        <v>69</v>
      </c>
      <c r="N35" s="14"/>
      <c r="O35" s="14"/>
      <c r="P35" s="15"/>
      <c r="Q35" s="16"/>
    </row>
    <row r="36" spans="1:17" ht="30" customHeight="1" x14ac:dyDescent="0.3">
      <c r="A36" s="9">
        <v>35</v>
      </c>
      <c r="B36" s="24" t="s">
        <v>112</v>
      </c>
      <c r="C36" s="23" t="s">
        <v>79</v>
      </c>
      <c r="D36" s="25" t="s">
        <v>98</v>
      </c>
      <c r="E36" s="24" t="s">
        <v>107</v>
      </c>
      <c r="F36" s="24" t="s">
        <v>507</v>
      </c>
      <c r="G36" s="24"/>
      <c r="H36" s="24" t="s">
        <v>114</v>
      </c>
      <c r="I36" s="13" t="s">
        <v>69</v>
      </c>
      <c r="J36" s="13" t="s">
        <v>69</v>
      </c>
      <c r="K36" s="13" t="s">
        <v>69</v>
      </c>
      <c r="L36" s="13" t="s">
        <v>69</v>
      </c>
      <c r="M36" s="13" t="s">
        <v>69</v>
      </c>
      <c r="N36" s="14"/>
      <c r="O36" s="14"/>
      <c r="P36" s="15"/>
      <c r="Q36" s="16"/>
    </row>
    <row r="37" spans="1:17" ht="30" customHeight="1" x14ac:dyDescent="0.3">
      <c r="A37" s="9">
        <v>35</v>
      </c>
      <c r="B37" s="24" t="s">
        <v>112</v>
      </c>
      <c r="C37" s="23" t="s">
        <v>79</v>
      </c>
      <c r="D37" s="25" t="s">
        <v>98</v>
      </c>
      <c r="E37" s="24" t="s">
        <v>107</v>
      </c>
      <c r="F37" s="24" t="s">
        <v>508</v>
      </c>
      <c r="G37" s="24"/>
      <c r="H37" s="24" t="s">
        <v>114</v>
      </c>
      <c r="I37" s="13" t="s">
        <v>69</v>
      </c>
      <c r="J37" s="13" t="s">
        <v>69</v>
      </c>
      <c r="K37" s="13" t="s">
        <v>69</v>
      </c>
      <c r="L37" s="13" t="s">
        <v>69</v>
      </c>
      <c r="M37" s="13" t="s">
        <v>69</v>
      </c>
      <c r="N37" s="14"/>
      <c r="O37" s="14"/>
      <c r="P37" s="15"/>
      <c r="Q37" s="16"/>
    </row>
    <row r="38" spans="1:17" ht="30" customHeight="1" x14ac:dyDescent="0.3">
      <c r="A38" s="9">
        <v>35</v>
      </c>
      <c r="B38" s="24" t="s">
        <v>112</v>
      </c>
      <c r="C38" s="23" t="s">
        <v>79</v>
      </c>
      <c r="D38" s="25" t="s">
        <v>98</v>
      </c>
      <c r="E38" s="24" t="s">
        <v>107</v>
      </c>
      <c r="F38" s="24" t="s">
        <v>509</v>
      </c>
      <c r="G38" s="24"/>
      <c r="H38" s="24" t="s">
        <v>114</v>
      </c>
      <c r="I38" s="13" t="s">
        <v>69</v>
      </c>
      <c r="J38" s="13" t="s">
        <v>69</v>
      </c>
      <c r="K38" s="13" t="s">
        <v>69</v>
      </c>
      <c r="L38" s="13" t="s">
        <v>69</v>
      </c>
      <c r="M38" s="13" t="s">
        <v>69</v>
      </c>
      <c r="N38" s="14"/>
      <c r="O38" s="14"/>
      <c r="P38" s="15"/>
      <c r="Q38" s="16"/>
    </row>
    <row r="39" spans="1:17" ht="30" customHeight="1" x14ac:dyDescent="0.3">
      <c r="A39" s="9">
        <v>35</v>
      </c>
      <c r="B39" s="24" t="s">
        <v>112</v>
      </c>
      <c r="C39" s="23" t="s">
        <v>79</v>
      </c>
      <c r="D39" s="25" t="s">
        <v>98</v>
      </c>
      <c r="E39" s="24" t="s">
        <v>120</v>
      </c>
      <c r="F39" s="24" t="s">
        <v>524</v>
      </c>
      <c r="G39" s="24"/>
      <c r="H39" s="24" t="s">
        <v>114</v>
      </c>
      <c r="I39" s="13" t="s">
        <v>69</v>
      </c>
      <c r="J39" s="13" t="s">
        <v>69</v>
      </c>
      <c r="K39" s="13" t="s">
        <v>69</v>
      </c>
      <c r="L39" s="13" t="s">
        <v>69</v>
      </c>
      <c r="M39" s="13" t="s">
        <v>69</v>
      </c>
      <c r="N39" s="14"/>
      <c r="O39" s="14"/>
      <c r="P39" s="15"/>
      <c r="Q39" s="16"/>
    </row>
    <row r="40" spans="1:17" ht="30" customHeight="1" x14ac:dyDescent="0.3">
      <c r="A40" s="9">
        <v>35</v>
      </c>
      <c r="B40" s="24" t="s">
        <v>112</v>
      </c>
      <c r="C40" s="23" t="s">
        <v>79</v>
      </c>
      <c r="D40" s="25" t="s">
        <v>98</v>
      </c>
      <c r="E40" s="24" t="s">
        <v>120</v>
      </c>
      <c r="F40" s="24" t="s">
        <v>525</v>
      </c>
      <c r="G40" s="24"/>
      <c r="H40" s="24" t="s">
        <v>114</v>
      </c>
      <c r="I40" s="13" t="s">
        <v>69</v>
      </c>
      <c r="J40" s="13" t="s">
        <v>69</v>
      </c>
      <c r="K40" s="13" t="s">
        <v>69</v>
      </c>
      <c r="L40" s="13" t="s">
        <v>69</v>
      </c>
      <c r="M40" s="13" t="s">
        <v>69</v>
      </c>
      <c r="N40" s="14"/>
      <c r="O40" s="14"/>
      <c r="P40" s="15"/>
      <c r="Q40" s="16"/>
    </row>
    <row r="41" spans="1:17" ht="30" customHeight="1" x14ac:dyDescent="0.3">
      <c r="A41" s="9">
        <v>35</v>
      </c>
      <c r="B41" s="24" t="s">
        <v>112</v>
      </c>
      <c r="C41" s="23" t="s">
        <v>79</v>
      </c>
      <c r="D41" s="25" t="s">
        <v>98</v>
      </c>
      <c r="E41" s="24" t="s">
        <v>120</v>
      </c>
      <c r="F41" s="24" t="s">
        <v>576</v>
      </c>
      <c r="G41" s="24"/>
      <c r="H41" s="24" t="s">
        <v>114</v>
      </c>
      <c r="I41" s="13" t="s">
        <v>69</v>
      </c>
      <c r="J41" s="13" t="s">
        <v>69</v>
      </c>
      <c r="K41" s="13" t="s">
        <v>72</v>
      </c>
      <c r="L41" s="13" t="s">
        <v>69</v>
      </c>
      <c r="M41" s="13" t="s">
        <v>69</v>
      </c>
      <c r="N41" s="14" t="s">
        <v>577</v>
      </c>
      <c r="O41" s="14"/>
      <c r="P41" s="15"/>
      <c r="Q41" s="16"/>
    </row>
    <row r="42" spans="1:17" ht="30" customHeight="1" x14ac:dyDescent="0.3">
      <c r="A42" s="9">
        <v>35</v>
      </c>
      <c r="B42" s="24" t="s">
        <v>112</v>
      </c>
      <c r="C42" s="23" t="s">
        <v>79</v>
      </c>
      <c r="D42" s="25" t="s">
        <v>98</v>
      </c>
      <c r="E42" s="24" t="s">
        <v>99</v>
      </c>
      <c r="F42" s="24" t="s">
        <v>526</v>
      </c>
      <c r="G42" s="24"/>
      <c r="H42" s="24" t="s">
        <v>114</v>
      </c>
      <c r="I42" s="13" t="s">
        <v>69</v>
      </c>
      <c r="J42" s="13" t="s">
        <v>69</v>
      </c>
      <c r="K42" s="13" t="s">
        <v>69</v>
      </c>
      <c r="L42" s="13" t="s">
        <v>69</v>
      </c>
      <c r="M42" s="13" t="s">
        <v>69</v>
      </c>
      <c r="N42" s="14"/>
      <c r="O42" s="14"/>
      <c r="P42" s="15"/>
      <c r="Q42" s="16"/>
    </row>
    <row r="43" spans="1:17" ht="30" customHeight="1" x14ac:dyDescent="0.3">
      <c r="A43" s="9">
        <v>35</v>
      </c>
      <c r="B43" s="24" t="s">
        <v>112</v>
      </c>
      <c r="C43" s="23" t="s">
        <v>79</v>
      </c>
      <c r="D43" s="25" t="s">
        <v>81</v>
      </c>
      <c r="E43" s="24" t="s">
        <v>82</v>
      </c>
      <c r="F43" s="24" t="s">
        <v>519</v>
      </c>
      <c r="G43" s="24"/>
      <c r="H43" s="24" t="s">
        <v>114</v>
      </c>
      <c r="I43" s="13" t="s">
        <v>69</v>
      </c>
      <c r="J43" s="13" t="s">
        <v>69</v>
      </c>
      <c r="K43" s="13" t="s">
        <v>69</v>
      </c>
      <c r="L43" s="13" t="s">
        <v>69</v>
      </c>
      <c r="M43" s="13" t="s">
        <v>69</v>
      </c>
      <c r="N43" s="14"/>
      <c r="O43" s="14"/>
      <c r="P43" s="15"/>
      <c r="Q43" s="16"/>
    </row>
    <row r="44" spans="1:17" ht="30" customHeight="1" x14ac:dyDescent="0.3">
      <c r="A44" s="9">
        <v>35</v>
      </c>
      <c r="B44" s="24" t="s">
        <v>112</v>
      </c>
      <c r="C44" s="23" t="s">
        <v>79</v>
      </c>
      <c r="D44" s="25" t="s">
        <v>81</v>
      </c>
      <c r="E44" s="24" t="s">
        <v>82</v>
      </c>
      <c r="F44" s="24" t="s">
        <v>520</v>
      </c>
      <c r="G44" s="24"/>
      <c r="H44" s="24" t="s">
        <v>114</v>
      </c>
      <c r="I44" s="13" t="s">
        <v>69</v>
      </c>
      <c r="J44" s="13" t="s">
        <v>69</v>
      </c>
      <c r="K44" s="13" t="s">
        <v>69</v>
      </c>
      <c r="L44" s="13" t="s">
        <v>69</v>
      </c>
      <c r="M44" s="13" t="s">
        <v>69</v>
      </c>
      <c r="N44" s="14"/>
      <c r="O44" s="14"/>
      <c r="P44" s="15"/>
      <c r="Q44" s="16"/>
    </row>
    <row r="45" spans="1:17" ht="30" customHeight="1" x14ac:dyDescent="0.3">
      <c r="A45" s="9">
        <v>35</v>
      </c>
      <c r="B45" s="24" t="s">
        <v>112</v>
      </c>
      <c r="C45" s="23" t="s">
        <v>79</v>
      </c>
      <c r="D45" s="25" t="s">
        <v>81</v>
      </c>
      <c r="E45" s="24" t="s">
        <v>82</v>
      </c>
      <c r="F45" s="24" t="s">
        <v>521</v>
      </c>
      <c r="G45" s="24"/>
      <c r="H45" s="24" t="s">
        <v>114</v>
      </c>
      <c r="I45" s="13" t="s">
        <v>69</v>
      </c>
      <c r="J45" s="13" t="s">
        <v>69</v>
      </c>
      <c r="K45" s="13" t="s">
        <v>69</v>
      </c>
      <c r="L45" s="13" t="s">
        <v>69</v>
      </c>
      <c r="M45" s="13" t="s">
        <v>69</v>
      </c>
      <c r="N45" s="14"/>
      <c r="O45" s="14"/>
      <c r="P45" s="15"/>
      <c r="Q45" s="16"/>
    </row>
    <row r="46" spans="1:17" ht="30" customHeight="1" x14ac:dyDescent="0.3">
      <c r="A46" s="9">
        <v>35</v>
      </c>
      <c r="B46" s="24" t="s">
        <v>112</v>
      </c>
      <c r="C46" s="23" t="s">
        <v>79</v>
      </c>
      <c r="D46" s="25" t="s">
        <v>81</v>
      </c>
      <c r="E46" s="24" t="s">
        <v>82</v>
      </c>
      <c r="F46" s="24" t="s">
        <v>522</v>
      </c>
      <c r="G46" s="24"/>
      <c r="H46" s="24" t="s">
        <v>114</v>
      </c>
      <c r="I46" s="13" t="s">
        <v>69</v>
      </c>
      <c r="J46" s="13" t="s">
        <v>69</v>
      </c>
      <c r="K46" s="13" t="s">
        <v>69</v>
      </c>
      <c r="L46" s="13" t="s">
        <v>69</v>
      </c>
      <c r="M46" s="13" t="s">
        <v>69</v>
      </c>
      <c r="N46" s="14"/>
      <c r="O46" s="14"/>
      <c r="P46" s="15"/>
      <c r="Q46" s="16"/>
    </row>
    <row r="47" spans="1:17" ht="30" customHeight="1" x14ac:dyDescent="0.3">
      <c r="A47" s="9">
        <v>35</v>
      </c>
      <c r="B47" s="24" t="s">
        <v>112</v>
      </c>
      <c r="C47" s="23" t="s">
        <v>79</v>
      </c>
      <c r="D47" s="25" t="s">
        <v>81</v>
      </c>
      <c r="E47" s="24" t="s">
        <v>87</v>
      </c>
      <c r="F47" s="24" t="s">
        <v>217</v>
      </c>
      <c r="G47" s="24"/>
      <c r="H47" s="24" t="s">
        <v>114</v>
      </c>
      <c r="I47" s="13" t="s">
        <v>72</v>
      </c>
      <c r="J47" s="13" t="s">
        <v>69</v>
      </c>
      <c r="K47" s="13" t="s">
        <v>72</v>
      </c>
      <c r="L47" s="13" t="s">
        <v>69</v>
      </c>
      <c r="M47" s="13" t="s">
        <v>69</v>
      </c>
      <c r="N47" s="14"/>
      <c r="O47" s="14"/>
      <c r="P47" s="15"/>
      <c r="Q47" s="16"/>
    </row>
    <row r="48" spans="1:17" ht="30" customHeight="1" x14ac:dyDescent="0.3">
      <c r="A48" s="9">
        <v>35</v>
      </c>
      <c r="B48" s="24" t="s">
        <v>112</v>
      </c>
      <c r="C48" s="23" t="s">
        <v>79</v>
      </c>
      <c r="D48" s="25" t="s">
        <v>81</v>
      </c>
      <c r="E48" s="24" t="s">
        <v>87</v>
      </c>
      <c r="F48" s="24" t="s">
        <v>218</v>
      </c>
      <c r="G48" s="24"/>
      <c r="H48" s="24" t="s">
        <v>114</v>
      </c>
      <c r="I48" s="13" t="s">
        <v>72</v>
      </c>
      <c r="J48" s="13" t="s">
        <v>69</v>
      </c>
      <c r="K48" s="13" t="s">
        <v>72</v>
      </c>
      <c r="L48" s="13" t="s">
        <v>69</v>
      </c>
      <c r="M48" s="13" t="s">
        <v>69</v>
      </c>
      <c r="N48" s="14"/>
      <c r="O48" s="14"/>
      <c r="P48" s="15"/>
      <c r="Q48" s="16"/>
    </row>
    <row r="49" spans="1:17" ht="30" customHeight="1" x14ac:dyDescent="0.3">
      <c r="A49" s="9">
        <v>35</v>
      </c>
      <c r="B49" s="24" t="s">
        <v>112</v>
      </c>
      <c r="C49" s="23" t="s">
        <v>79</v>
      </c>
      <c r="D49" s="25" t="s">
        <v>81</v>
      </c>
      <c r="E49" s="24" t="s">
        <v>105</v>
      </c>
      <c r="F49" s="24" t="s">
        <v>523</v>
      </c>
      <c r="G49" s="24"/>
      <c r="H49" s="24" t="s">
        <v>114</v>
      </c>
      <c r="I49" s="13" t="s">
        <v>69</v>
      </c>
      <c r="J49" s="13" t="s">
        <v>69</v>
      </c>
      <c r="K49" s="13" t="s">
        <v>69</v>
      </c>
      <c r="L49" s="13" t="s">
        <v>69</v>
      </c>
      <c r="M49" s="13" t="s">
        <v>69</v>
      </c>
      <c r="N49" s="14"/>
      <c r="O49" s="14"/>
      <c r="P49" s="15"/>
      <c r="Q49" s="16"/>
    </row>
    <row r="50" spans="1:17" ht="30" customHeight="1" x14ac:dyDescent="0.3">
      <c r="A50" s="9">
        <v>35</v>
      </c>
      <c r="B50" s="24" t="s">
        <v>474</v>
      </c>
      <c r="C50" s="23" t="s">
        <v>131</v>
      </c>
      <c r="D50" s="25" t="s">
        <v>473</v>
      </c>
      <c r="E50" s="24" t="s">
        <v>132</v>
      </c>
      <c r="F50" s="24" t="s">
        <v>529</v>
      </c>
      <c r="G50" s="24"/>
      <c r="H50" s="24" t="s">
        <v>114</v>
      </c>
      <c r="I50" s="13" t="s">
        <v>69</v>
      </c>
      <c r="J50" s="13" t="s">
        <v>69</v>
      </c>
      <c r="K50" s="13" t="s">
        <v>69</v>
      </c>
      <c r="L50" s="13" t="s">
        <v>69</v>
      </c>
      <c r="M50" s="13" t="s">
        <v>69</v>
      </c>
      <c r="N50" s="14"/>
      <c r="O50" s="14"/>
      <c r="P50" s="15"/>
      <c r="Q50" s="16"/>
    </row>
    <row r="51" spans="1:17" ht="30" customHeight="1" x14ac:dyDescent="0.3">
      <c r="A51" s="9">
        <v>35</v>
      </c>
      <c r="B51" s="24" t="s">
        <v>474</v>
      </c>
      <c r="C51" s="23" t="s">
        <v>73</v>
      </c>
      <c r="D51" s="25" t="s">
        <v>88</v>
      </c>
      <c r="E51" s="24" t="s">
        <v>102</v>
      </c>
      <c r="F51" s="24" t="s">
        <v>530</v>
      </c>
      <c r="G51" s="24"/>
      <c r="H51" s="24" t="s">
        <v>114</v>
      </c>
      <c r="I51" s="13" t="s">
        <v>69</v>
      </c>
      <c r="J51" s="13" t="s">
        <v>69</v>
      </c>
      <c r="K51" s="13" t="s">
        <v>69</v>
      </c>
      <c r="L51" s="13" t="s">
        <v>69</v>
      </c>
      <c r="M51" s="13" t="s">
        <v>69</v>
      </c>
      <c r="N51" s="14"/>
      <c r="O51" s="14"/>
      <c r="P51" s="15"/>
      <c r="Q51" s="16"/>
    </row>
    <row r="52" spans="1:17" ht="30" customHeight="1" x14ac:dyDescent="0.3">
      <c r="A52" s="9">
        <v>35</v>
      </c>
      <c r="B52" s="24" t="s">
        <v>474</v>
      </c>
      <c r="C52" s="23" t="s">
        <v>73</v>
      </c>
      <c r="D52" s="25" t="s">
        <v>125</v>
      </c>
      <c r="E52" s="24" t="s">
        <v>125</v>
      </c>
      <c r="F52" s="24" t="s">
        <v>531</v>
      </c>
      <c r="G52" s="24"/>
      <c r="H52" s="24" t="s">
        <v>114</v>
      </c>
      <c r="I52" s="13" t="s">
        <v>69</v>
      </c>
      <c r="J52" s="13" t="s">
        <v>69</v>
      </c>
      <c r="K52" s="13" t="s">
        <v>69</v>
      </c>
      <c r="L52" s="13" t="s">
        <v>69</v>
      </c>
      <c r="M52" s="13" t="s">
        <v>69</v>
      </c>
      <c r="N52" s="14"/>
      <c r="O52" s="14"/>
      <c r="P52" s="15"/>
      <c r="Q52" s="16"/>
    </row>
    <row r="53" spans="1:17" ht="30" customHeight="1" x14ac:dyDescent="0.3">
      <c r="A53" s="9">
        <v>35</v>
      </c>
      <c r="B53" s="24" t="s">
        <v>474</v>
      </c>
      <c r="C53" s="23" t="s">
        <v>131</v>
      </c>
      <c r="D53" s="25" t="s">
        <v>473</v>
      </c>
      <c r="E53" s="24" t="s">
        <v>138</v>
      </c>
      <c r="F53" s="24" t="s">
        <v>532</v>
      </c>
      <c r="G53" s="24"/>
      <c r="H53" s="24" t="s">
        <v>114</v>
      </c>
      <c r="I53" s="13" t="s">
        <v>69</v>
      </c>
      <c r="J53" s="13" t="s">
        <v>69</v>
      </c>
      <c r="K53" s="13" t="s">
        <v>69</v>
      </c>
      <c r="L53" s="13" t="s">
        <v>69</v>
      </c>
      <c r="M53" s="13" t="s">
        <v>69</v>
      </c>
      <c r="N53" s="14"/>
      <c r="O53" s="14"/>
      <c r="P53" s="15"/>
      <c r="Q53" s="16"/>
    </row>
    <row r="54" spans="1:17" ht="30" customHeight="1" x14ac:dyDescent="0.3">
      <c r="A54" s="9">
        <v>35</v>
      </c>
      <c r="B54" s="24" t="s">
        <v>474</v>
      </c>
      <c r="C54" s="23" t="s">
        <v>131</v>
      </c>
      <c r="D54" s="25" t="s">
        <v>473</v>
      </c>
      <c r="E54" s="24" t="s">
        <v>138</v>
      </c>
      <c r="F54" s="24" t="s">
        <v>221</v>
      </c>
      <c r="G54" s="24"/>
      <c r="H54" s="24" t="s">
        <v>114</v>
      </c>
      <c r="I54" s="13" t="s">
        <v>69</v>
      </c>
      <c r="J54" s="13" t="s">
        <v>69</v>
      </c>
      <c r="K54" s="13" t="s">
        <v>69</v>
      </c>
      <c r="L54" s="13" t="s">
        <v>72</v>
      </c>
      <c r="M54" s="13" t="s">
        <v>69</v>
      </c>
      <c r="N54" s="14"/>
      <c r="O54" s="14"/>
      <c r="P54" s="15"/>
      <c r="Q54" s="16"/>
    </row>
    <row r="55" spans="1:17" ht="30" customHeight="1" x14ac:dyDescent="0.3">
      <c r="A55" s="9">
        <v>35</v>
      </c>
      <c r="B55" s="24" t="s">
        <v>474</v>
      </c>
      <c r="C55" s="23" t="s">
        <v>131</v>
      </c>
      <c r="D55" s="25" t="s">
        <v>473</v>
      </c>
      <c r="E55" s="24" t="s">
        <v>138</v>
      </c>
      <c r="F55" s="24" t="s">
        <v>533</v>
      </c>
      <c r="G55" s="24"/>
      <c r="H55" s="24" t="s">
        <v>114</v>
      </c>
      <c r="I55" s="13" t="s">
        <v>69</v>
      </c>
      <c r="J55" s="13" t="s">
        <v>69</v>
      </c>
      <c r="K55" s="13" t="s">
        <v>69</v>
      </c>
      <c r="L55" s="13" t="s">
        <v>69</v>
      </c>
      <c r="M55" s="13" t="s">
        <v>69</v>
      </c>
      <c r="N55" s="14"/>
      <c r="O55" s="14"/>
      <c r="P55" s="15"/>
      <c r="Q55" s="16"/>
    </row>
    <row r="56" spans="1:17" ht="30" customHeight="1" x14ac:dyDescent="0.3">
      <c r="A56" s="9">
        <v>35</v>
      </c>
      <c r="B56" s="24" t="s">
        <v>474</v>
      </c>
      <c r="C56" s="23" t="s">
        <v>70</v>
      </c>
      <c r="D56" s="25" t="s">
        <v>133</v>
      </c>
      <c r="E56" s="24" t="s">
        <v>135</v>
      </c>
      <c r="F56" s="24" t="s">
        <v>534</v>
      </c>
      <c r="G56" s="24"/>
      <c r="H56" s="24" t="s">
        <v>114</v>
      </c>
      <c r="I56" s="13" t="s">
        <v>69</v>
      </c>
      <c r="J56" s="13" t="s">
        <v>69</v>
      </c>
      <c r="K56" s="13" t="s">
        <v>69</v>
      </c>
      <c r="L56" s="13" t="s">
        <v>69</v>
      </c>
      <c r="M56" s="13" t="s">
        <v>69</v>
      </c>
      <c r="N56" s="14"/>
      <c r="O56" s="14"/>
      <c r="P56" s="15"/>
      <c r="Q56" s="16"/>
    </row>
    <row r="57" spans="1:17" ht="30" customHeight="1" x14ac:dyDescent="0.3">
      <c r="A57" s="9">
        <v>35</v>
      </c>
      <c r="B57" s="24" t="s">
        <v>474</v>
      </c>
      <c r="C57" s="23" t="s">
        <v>70</v>
      </c>
      <c r="D57" s="25" t="s">
        <v>133</v>
      </c>
      <c r="E57" s="24" t="s">
        <v>140</v>
      </c>
      <c r="F57" s="24" t="s">
        <v>535</v>
      </c>
      <c r="G57" s="24"/>
      <c r="H57" s="24" t="s">
        <v>114</v>
      </c>
      <c r="I57" s="13" t="s">
        <v>69</v>
      </c>
      <c r="J57" s="13" t="s">
        <v>69</v>
      </c>
      <c r="K57" s="13" t="s">
        <v>69</v>
      </c>
      <c r="L57" s="13" t="s">
        <v>69</v>
      </c>
      <c r="M57" s="13" t="s">
        <v>69</v>
      </c>
      <c r="N57" s="14"/>
      <c r="O57" s="14"/>
      <c r="P57" s="15"/>
      <c r="Q57" s="16"/>
    </row>
    <row r="58" spans="1:17" ht="30" customHeight="1" x14ac:dyDescent="0.3">
      <c r="A58" s="9">
        <v>35</v>
      </c>
      <c r="B58" s="24" t="s">
        <v>474</v>
      </c>
      <c r="C58" s="23" t="s">
        <v>79</v>
      </c>
      <c r="D58" s="25" t="s">
        <v>133</v>
      </c>
      <c r="E58" s="24" t="s">
        <v>134</v>
      </c>
      <c r="F58" s="24" t="s">
        <v>536</v>
      </c>
      <c r="G58" s="24"/>
      <c r="H58" s="24" t="s">
        <v>114</v>
      </c>
      <c r="I58" s="13" t="s">
        <v>69</v>
      </c>
      <c r="J58" s="13" t="s">
        <v>69</v>
      </c>
      <c r="K58" s="13" t="s">
        <v>69</v>
      </c>
      <c r="L58" s="13" t="s">
        <v>69</v>
      </c>
      <c r="M58" s="13" t="s">
        <v>69</v>
      </c>
      <c r="N58" s="14"/>
      <c r="O58" s="14"/>
      <c r="P58" s="15"/>
      <c r="Q58" s="16"/>
    </row>
    <row r="59" spans="1:17" ht="30" customHeight="1" x14ac:dyDescent="0.3">
      <c r="A59" s="9">
        <v>35</v>
      </c>
      <c r="B59" s="24" t="s">
        <v>478</v>
      </c>
      <c r="C59" s="23" t="s">
        <v>131</v>
      </c>
      <c r="D59" s="25" t="s">
        <v>473</v>
      </c>
      <c r="E59" s="24" t="s">
        <v>139</v>
      </c>
      <c r="F59" s="24" t="s">
        <v>537</v>
      </c>
      <c r="G59" s="24"/>
      <c r="H59" s="24" t="s">
        <v>114</v>
      </c>
      <c r="I59" s="13" t="s">
        <v>69</v>
      </c>
      <c r="J59" s="13" t="s">
        <v>69</v>
      </c>
      <c r="K59" s="13" t="s">
        <v>69</v>
      </c>
      <c r="L59" s="13" t="s">
        <v>69</v>
      </c>
      <c r="M59" s="13" t="s">
        <v>69</v>
      </c>
      <c r="N59" s="14"/>
      <c r="O59" s="14"/>
      <c r="P59" s="15"/>
      <c r="Q59" s="16"/>
    </row>
    <row r="60" spans="1:17" ht="30" customHeight="1" x14ac:dyDescent="0.3">
      <c r="A60" s="9">
        <v>35</v>
      </c>
      <c r="B60" s="24" t="s">
        <v>478</v>
      </c>
      <c r="C60" s="23" t="s">
        <v>131</v>
      </c>
      <c r="D60" s="25" t="s">
        <v>473</v>
      </c>
      <c r="E60" s="24" t="s">
        <v>139</v>
      </c>
      <c r="F60" s="24" t="s">
        <v>538</v>
      </c>
      <c r="G60" s="24"/>
      <c r="H60" s="24" t="s">
        <v>114</v>
      </c>
      <c r="I60" s="13" t="s">
        <v>72</v>
      </c>
      <c r="J60" s="13" t="s">
        <v>69</v>
      </c>
      <c r="K60" s="13" t="s">
        <v>69</v>
      </c>
      <c r="L60" s="13" t="s">
        <v>69</v>
      </c>
      <c r="M60" s="13" t="s">
        <v>69</v>
      </c>
      <c r="N60" s="14" t="s">
        <v>578</v>
      </c>
      <c r="O60" s="14"/>
      <c r="P60" s="15"/>
      <c r="Q60" s="16"/>
    </row>
    <row r="61" spans="1:17" ht="30" customHeight="1" x14ac:dyDescent="0.3">
      <c r="A61" s="9">
        <v>35</v>
      </c>
      <c r="B61" s="24" t="s">
        <v>478</v>
      </c>
      <c r="C61" s="23" t="s">
        <v>131</v>
      </c>
      <c r="D61" s="25" t="s">
        <v>473</v>
      </c>
      <c r="E61" s="24" t="s">
        <v>139</v>
      </c>
      <c r="F61" s="24" t="s">
        <v>539</v>
      </c>
      <c r="G61" s="24"/>
      <c r="H61" s="24" t="s">
        <v>114</v>
      </c>
      <c r="I61" s="13" t="s">
        <v>72</v>
      </c>
      <c r="J61" s="13" t="s">
        <v>69</v>
      </c>
      <c r="K61" s="13" t="s">
        <v>69</v>
      </c>
      <c r="L61" s="13" t="s">
        <v>69</v>
      </c>
      <c r="M61" s="13" t="s">
        <v>69</v>
      </c>
      <c r="N61" s="14" t="s">
        <v>578</v>
      </c>
      <c r="O61" s="14"/>
      <c r="P61" s="15"/>
      <c r="Q61" s="16"/>
    </row>
    <row r="62" spans="1:17" ht="30" customHeight="1" x14ac:dyDescent="0.3">
      <c r="A62" s="9">
        <v>35</v>
      </c>
      <c r="B62" s="24" t="s">
        <v>478</v>
      </c>
      <c r="C62" s="23" t="s">
        <v>131</v>
      </c>
      <c r="D62" s="25" t="s">
        <v>473</v>
      </c>
      <c r="E62" s="24" t="s">
        <v>139</v>
      </c>
      <c r="F62" s="24" t="s">
        <v>540</v>
      </c>
      <c r="G62" s="24"/>
      <c r="H62" s="24" t="s">
        <v>114</v>
      </c>
      <c r="I62" s="13" t="s">
        <v>72</v>
      </c>
      <c r="J62" s="13" t="s">
        <v>69</v>
      </c>
      <c r="K62" s="13" t="s">
        <v>69</v>
      </c>
      <c r="L62" s="13" t="s">
        <v>69</v>
      </c>
      <c r="M62" s="13" t="s">
        <v>69</v>
      </c>
      <c r="N62" s="14" t="s">
        <v>578</v>
      </c>
      <c r="O62" s="14"/>
      <c r="P62" s="15"/>
      <c r="Q62" s="16"/>
    </row>
    <row r="63" spans="1:17" ht="30" customHeight="1" x14ac:dyDescent="0.3">
      <c r="A63" s="9">
        <v>35</v>
      </c>
      <c r="B63" s="24" t="s">
        <v>475</v>
      </c>
      <c r="C63" s="23" t="s">
        <v>73</v>
      </c>
      <c r="D63" s="25" t="s">
        <v>109</v>
      </c>
      <c r="E63" s="24" t="s">
        <v>109</v>
      </c>
      <c r="F63" s="24" t="s">
        <v>484</v>
      </c>
      <c r="G63" s="24"/>
      <c r="H63" s="24" t="s">
        <v>114</v>
      </c>
      <c r="I63" s="13" t="s">
        <v>69</v>
      </c>
      <c r="J63" s="13" t="s">
        <v>69</v>
      </c>
      <c r="K63" s="13" t="s">
        <v>69</v>
      </c>
      <c r="L63" s="13" t="s">
        <v>69</v>
      </c>
      <c r="M63" s="13" t="s">
        <v>69</v>
      </c>
      <c r="N63" s="14"/>
      <c r="O63" s="14"/>
      <c r="P63" s="15"/>
      <c r="Q63" s="16"/>
    </row>
    <row r="64" spans="1:17" ht="30" customHeight="1" x14ac:dyDescent="0.3">
      <c r="A64" s="9">
        <v>35</v>
      </c>
      <c r="B64" s="24" t="s">
        <v>475</v>
      </c>
      <c r="C64" s="23" t="s">
        <v>73</v>
      </c>
      <c r="D64" s="25" t="s">
        <v>109</v>
      </c>
      <c r="E64" s="24" t="s">
        <v>109</v>
      </c>
      <c r="F64" s="24" t="s">
        <v>485</v>
      </c>
      <c r="G64" s="24"/>
      <c r="H64" s="24" t="s">
        <v>114</v>
      </c>
      <c r="I64" s="13" t="s">
        <v>69</v>
      </c>
      <c r="J64" s="13" t="s">
        <v>69</v>
      </c>
      <c r="K64" s="13" t="s">
        <v>69</v>
      </c>
      <c r="L64" s="13" t="s">
        <v>69</v>
      </c>
      <c r="M64" s="13" t="s">
        <v>69</v>
      </c>
      <c r="N64" s="14"/>
      <c r="O64" s="14"/>
      <c r="P64" s="15"/>
      <c r="Q64" s="16"/>
    </row>
    <row r="65" spans="1:17" ht="30" customHeight="1" x14ac:dyDescent="0.3">
      <c r="A65" s="9">
        <v>35</v>
      </c>
      <c r="B65" s="24" t="s">
        <v>475</v>
      </c>
      <c r="C65" s="23" t="s">
        <v>73</v>
      </c>
      <c r="D65" s="25" t="s">
        <v>109</v>
      </c>
      <c r="E65" s="24" t="s">
        <v>109</v>
      </c>
      <c r="F65" s="24" t="s">
        <v>486</v>
      </c>
      <c r="G65" s="24"/>
      <c r="H65" s="24" t="s">
        <v>114</v>
      </c>
      <c r="I65" s="13" t="s">
        <v>69</v>
      </c>
      <c r="J65" s="13" t="s">
        <v>69</v>
      </c>
      <c r="K65" s="13" t="s">
        <v>69</v>
      </c>
      <c r="L65" s="13" t="s">
        <v>69</v>
      </c>
      <c r="M65" s="13" t="s">
        <v>69</v>
      </c>
      <c r="N65" s="14"/>
      <c r="O65" s="14"/>
      <c r="P65" s="15"/>
      <c r="Q65" s="16"/>
    </row>
    <row r="66" spans="1:17" ht="30" customHeight="1" x14ac:dyDescent="0.3">
      <c r="A66" s="9">
        <v>35</v>
      </c>
      <c r="B66" s="24" t="s">
        <v>475</v>
      </c>
      <c r="C66" s="23" t="s">
        <v>73</v>
      </c>
      <c r="D66" s="25" t="s">
        <v>88</v>
      </c>
      <c r="E66" s="24" t="s">
        <v>96</v>
      </c>
      <c r="F66" s="24" t="s">
        <v>96</v>
      </c>
      <c r="G66" s="24"/>
      <c r="H66" s="24" t="s">
        <v>114</v>
      </c>
      <c r="I66" s="13" t="s">
        <v>69</v>
      </c>
      <c r="J66" s="13" t="s">
        <v>69</v>
      </c>
      <c r="K66" s="13" t="s">
        <v>69</v>
      </c>
      <c r="L66" s="13" t="s">
        <v>69</v>
      </c>
      <c r="M66" s="13" t="s">
        <v>69</v>
      </c>
      <c r="N66" s="14"/>
      <c r="O66" s="14"/>
      <c r="P66" s="15"/>
      <c r="Q66" s="16"/>
    </row>
    <row r="67" spans="1:17" ht="30" customHeight="1" x14ac:dyDescent="0.3">
      <c r="A67" s="9">
        <v>35</v>
      </c>
      <c r="B67" s="24" t="s">
        <v>475</v>
      </c>
      <c r="C67" s="23" t="s">
        <v>73</v>
      </c>
      <c r="D67" s="25" t="s">
        <v>88</v>
      </c>
      <c r="E67" s="24" t="s">
        <v>89</v>
      </c>
      <c r="F67" s="24" t="s">
        <v>487</v>
      </c>
      <c r="G67" s="24"/>
      <c r="H67" s="24" t="s">
        <v>114</v>
      </c>
      <c r="I67" s="13" t="s">
        <v>69</v>
      </c>
      <c r="J67" s="13" t="s">
        <v>69</v>
      </c>
      <c r="K67" s="13" t="s">
        <v>69</v>
      </c>
      <c r="L67" s="13" t="s">
        <v>69</v>
      </c>
      <c r="M67" s="13" t="s">
        <v>69</v>
      </c>
      <c r="N67" s="14"/>
      <c r="O67" s="14"/>
      <c r="P67" s="15"/>
      <c r="Q67" s="16"/>
    </row>
    <row r="68" spans="1:17" ht="30" customHeight="1" x14ac:dyDescent="0.3">
      <c r="A68" s="9">
        <v>35</v>
      </c>
      <c r="B68" s="24" t="s">
        <v>475</v>
      </c>
      <c r="C68" s="23" t="s">
        <v>73</v>
      </c>
      <c r="D68" s="25" t="s">
        <v>88</v>
      </c>
      <c r="E68" s="24" t="s">
        <v>89</v>
      </c>
      <c r="F68" s="24" t="s">
        <v>488</v>
      </c>
      <c r="G68" s="24"/>
      <c r="H68" s="24" t="s">
        <v>114</v>
      </c>
      <c r="I68" s="13" t="s">
        <v>69</v>
      </c>
      <c r="J68" s="13" t="s">
        <v>69</v>
      </c>
      <c r="K68" s="13" t="s">
        <v>69</v>
      </c>
      <c r="L68" s="13" t="s">
        <v>69</v>
      </c>
      <c r="M68" s="13" t="s">
        <v>69</v>
      </c>
      <c r="N68" s="14"/>
      <c r="O68" s="14"/>
      <c r="P68" s="15"/>
      <c r="Q68" s="16"/>
    </row>
    <row r="69" spans="1:17" ht="30" customHeight="1" x14ac:dyDescent="0.3">
      <c r="A69" s="9">
        <v>35</v>
      </c>
      <c r="B69" s="24" t="s">
        <v>475</v>
      </c>
      <c r="C69" s="23" t="s">
        <v>73</v>
      </c>
      <c r="D69" s="25" t="s">
        <v>472</v>
      </c>
      <c r="E69" s="24" t="s">
        <v>116</v>
      </c>
      <c r="F69" s="24" t="s">
        <v>546</v>
      </c>
      <c r="G69" s="24"/>
      <c r="H69" s="24" t="s">
        <v>114</v>
      </c>
      <c r="I69" s="13" t="s">
        <v>69</v>
      </c>
      <c r="J69" s="13" t="s">
        <v>69</v>
      </c>
      <c r="K69" s="13" t="s">
        <v>85</v>
      </c>
      <c r="L69" s="13" t="s">
        <v>69</v>
      </c>
      <c r="M69" s="13" t="s">
        <v>69</v>
      </c>
      <c r="N69" s="14" t="s">
        <v>566</v>
      </c>
      <c r="O69" s="14"/>
      <c r="P69" s="15"/>
      <c r="Q69" s="16"/>
    </row>
    <row r="70" spans="1:17" ht="30" customHeight="1" x14ac:dyDescent="0.3">
      <c r="A70" s="9">
        <v>35</v>
      </c>
      <c r="B70" s="24" t="s">
        <v>475</v>
      </c>
      <c r="C70" s="23" t="s">
        <v>73</v>
      </c>
      <c r="D70" s="25" t="s">
        <v>472</v>
      </c>
      <c r="E70" s="24" t="s">
        <v>116</v>
      </c>
      <c r="F70" s="24" t="s">
        <v>547</v>
      </c>
      <c r="G70" s="24"/>
      <c r="H70" s="24" t="s">
        <v>114</v>
      </c>
      <c r="I70" s="13" t="s">
        <v>69</v>
      </c>
      <c r="J70" s="13" t="s">
        <v>69</v>
      </c>
      <c r="K70" s="13" t="s">
        <v>85</v>
      </c>
      <c r="L70" s="13" t="s">
        <v>69</v>
      </c>
      <c r="M70" s="13" t="s">
        <v>69</v>
      </c>
      <c r="N70" s="14" t="s">
        <v>566</v>
      </c>
      <c r="O70" s="14"/>
      <c r="P70" s="15"/>
      <c r="Q70" s="16"/>
    </row>
    <row r="71" spans="1:17" ht="30" customHeight="1" x14ac:dyDescent="0.3">
      <c r="A71" s="9">
        <v>35</v>
      </c>
      <c r="B71" s="24" t="s">
        <v>475</v>
      </c>
      <c r="C71" s="23" t="s">
        <v>73</v>
      </c>
      <c r="D71" s="25" t="s">
        <v>472</v>
      </c>
      <c r="E71" s="24" t="s">
        <v>119</v>
      </c>
      <c r="F71" s="24" t="s">
        <v>548</v>
      </c>
      <c r="G71" s="24"/>
      <c r="H71" s="24" t="s">
        <v>114</v>
      </c>
      <c r="I71" s="13" t="s">
        <v>69</v>
      </c>
      <c r="J71" s="13" t="s">
        <v>69</v>
      </c>
      <c r="K71" s="13" t="s">
        <v>72</v>
      </c>
      <c r="L71" s="13" t="s">
        <v>69</v>
      </c>
      <c r="M71" s="13" t="s">
        <v>69</v>
      </c>
      <c r="N71" s="14" t="s">
        <v>566</v>
      </c>
      <c r="O71" s="14"/>
      <c r="P71" s="15"/>
      <c r="Q71" s="16"/>
    </row>
    <row r="72" spans="1:17" ht="30" customHeight="1" x14ac:dyDescent="0.3">
      <c r="A72" s="9">
        <v>35</v>
      </c>
      <c r="B72" s="24" t="s">
        <v>477</v>
      </c>
      <c r="C72" s="23" t="s">
        <v>41</v>
      </c>
      <c r="D72" s="25" t="s">
        <v>94</v>
      </c>
      <c r="E72" s="24" t="s">
        <v>481</v>
      </c>
      <c r="F72" s="24" t="s">
        <v>489</v>
      </c>
      <c r="G72" s="24"/>
      <c r="H72" s="24" t="s">
        <v>114</v>
      </c>
      <c r="I72" s="13" t="s">
        <v>69</v>
      </c>
      <c r="J72" s="13" t="s">
        <v>69</v>
      </c>
      <c r="K72" s="13" t="s">
        <v>85</v>
      </c>
      <c r="L72" s="13" t="s">
        <v>69</v>
      </c>
      <c r="M72" s="13" t="s">
        <v>69</v>
      </c>
      <c r="N72" s="14" t="s">
        <v>578</v>
      </c>
      <c r="O72" s="14"/>
      <c r="P72" s="15"/>
      <c r="Q72" s="16"/>
    </row>
    <row r="73" spans="1:17" ht="30" customHeight="1" x14ac:dyDescent="0.3">
      <c r="A73" s="9">
        <v>35</v>
      </c>
      <c r="B73" s="24" t="s">
        <v>477</v>
      </c>
      <c r="C73" s="23" t="s">
        <v>41</v>
      </c>
      <c r="D73" s="25" t="s">
        <v>94</v>
      </c>
      <c r="E73" s="24" t="s">
        <v>100</v>
      </c>
      <c r="F73" s="24" t="s">
        <v>490</v>
      </c>
      <c r="G73" s="24"/>
      <c r="H73" s="24" t="s">
        <v>114</v>
      </c>
      <c r="I73" s="13" t="s">
        <v>69</v>
      </c>
      <c r="J73" s="13" t="s">
        <v>69</v>
      </c>
      <c r="K73" s="13" t="s">
        <v>69</v>
      </c>
      <c r="L73" s="13" t="s">
        <v>69</v>
      </c>
      <c r="M73" s="13" t="s">
        <v>69</v>
      </c>
      <c r="N73" s="14"/>
      <c r="O73" s="14"/>
      <c r="P73" s="15"/>
      <c r="Q73" s="16"/>
    </row>
    <row r="74" spans="1:17" ht="30" customHeight="1" x14ac:dyDescent="0.3">
      <c r="A74" s="9">
        <v>35</v>
      </c>
      <c r="B74" s="24" t="s">
        <v>477</v>
      </c>
      <c r="C74" s="23" t="s">
        <v>41</v>
      </c>
      <c r="D74" s="25" t="s">
        <v>94</v>
      </c>
      <c r="E74" s="24" t="s">
        <v>100</v>
      </c>
      <c r="F74" s="24" t="s">
        <v>549</v>
      </c>
      <c r="G74" s="24"/>
      <c r="H74" s="24" t="s">
        <v>114</v>
      </c>
      <c r="I74" s="13" t="s">
        <v>69</v>
      </c>
      <c r="J74" s="13" t="s">
        <v>69</v>
      </c>
      <c r="K74" s="13" t="s">
        <v>69</v>
      </c>
      <c r="L74" s="13" t="s">
        <v>69</v>
      </c>
      <c r="M74" s="13" t="s">
        <v>69</v>
      </c>
      <c r="N74" s="14"/>
      <c r="O74" s="14"/>
      <c r="P74" s="15"/>
      <c r="Q74" s="16"/>
    </row>
    <row r="75" spans="1:17" ht="30" customHeight="1" x14ac:dyDescent="0.3">
      <c r="A75" s="9">
        <v>35</v>
      </c>
      <c r="B75" s="24" t="s">
        <v>477</v>
      </c>
      <c r="C75" s="23" t="s">
        <v>41</v>
      </c>
      <c r="D75" s="25" t="s">
        <v>94</v>
      </c>
      <c r="E75" s="24" t="s">
        <v>100</v>
      </c>
      <c r="F75" s="24" t="s">
        <v>550</v>
      </c>
      <c r="G75" s="24"/>
      <c r="H75" s="24" t="s">
        <v>114</v>
      </c>
      <c r="I75" s="13" t="s">
        <v>69</v>
      </c>
      <c r="J75" s="13" t="s">
        <v>69</v>
      </c>
      <c r="K75" s="13" t="s">
        <v>69</v>
      </c>
      <c r="L75" s="13" t="s">
        <v>69</v>
      </c>
      <c r="M75" s="13" t="s">
        <v>69</v>
      </c>
      <c r="N75" s="14"/>
      <c r="O75" s="14"/>
      <c r="P75" s="15"/>
      <c r="Q75" s="16"/>
    </row>
    <row r="76" spans="1:17" ht="30" customHeight="1" x14ac:dyDescent="0.3">
      <c r="A76" s="9">
        <v>35</v>
      </c>
      <c r="B76" s="24" t="s">
        <v>477</v>
      </c>
      <c r="C76" s="23" t="s">
        <v>41</v>
      </c>
      <c r="D76" s="25" t="s">
        <v>470</v>
      </c>
      <c r="E76" s="24" t="s">
        <v>93</v>
      </c>
      <c r="F76" s="24" t="s">
        <v>551</v>
      </c>
      <c r="G76" s="24"/>
      <c r="H76" s="24" t="s">
        <v>114</v>
      </c>
      <c r="I76" s="13" t="s">
        <v>69</v>
      </c>
      <c r="J76" s="13" t="s">
        <v>69</v>
      </c>
      <c r="K76" s="13" t="s">
        <v>69</v>
      </c>
      <c r="L76" s="13" t="s">
        <v>69</v>
      </c>
      <c r="M76" s="13" t="s">
        <v>69</v>
      </c>
      <c r="N76" s="14"/>
      <c r="O76" s="14"/>
      <c r="P76" s="15"/>
      <c r="Q76" s="16"/>
    </row>
    <row r="77" spans="1:17" ht="30" customHeight="1" x14ac:dyDescent="0.3">
      <c r="A77" s="9">
        <v>35</v>
      </c>
      <c r="B77" s="24" t="s">
        <v>477</v>
      </c>
      <c r="C77" s="23" t="s">
        <v>41</v>
      </c>
      <c r="D77" s="25" t="s">
        <v>468</v>
      </c>
      <c r="E77" s="24" t="s">
        <v>75</v>
      </c>
      <c r="F77" s="24" t="s">
        <v>552</v>
      </c>
      <c r="G77" s="24"/>
      <c r="H77" s="24" t="s">
        <v>114</v>
      </c>
      <c r="I77" s="13" t="s">
        <v>69</v>
      </c>
      <c r="J77" s="13" t="s">
        <v>69</v>
      </c>
      <c r="K77" s="13" t="s">
        <v>69</v>
      </c>
      <c r="L77" s="13" t="s">
        <v>69</v>
      </c>
      <c r="M77" s="13" t="s">
        <v>69</v>
      </c>
      <c r="N77" s="14"/>
      <c r="O77" s="14"/>
      <c r="P77" s="15"/>
      <c r="Q77" s="16"/>
    </row>
    <row r="78" spans="1:17" ht="30" customHeight="1" x14ac:dyDescent="0.3">
      <c r="A78" s="9">
        <v>35</v>
      </c>
      <c r="B78" s="24" t="s">
        <v>477</v>
      </c>
      <c r="C78" s="23" t="s">
        <v>103</v>
      </c>
      <c r="D78" s="25" t="s">
        <v>104</v>
      </c>
      <c r="E78" s="24" t="s">
        <v>104</v>
      </c>
      <c r="F78" s="24" t="s">
        <v>491</v>
      </c>
      <c r="G78" s="24"/>
      <c r="H78" s="24" t="s">
        <v>114</v>
      </c>
      <c r="I78" s="13" t="s">
        <v>69</v>
      </c>
      <c r="J78" s="13" t="s">
        <v>69</v>
      </c>
      <c r="K78" s="13" t="s">
        <v>69</v>
      </c>
      <c r="L78" s="13" t="s">
        <v>69</v>
      </c>
      <c r="M78" s="13" t="s">
        <v>69</v>
      </c>
      <c r="N78" s="14"/>
      <c r="O78" s="14"/>
      <c r="P78" s="15"/>
      <c r="Q78" s="16"/>
    </row>
    <row r="79" spans="1:17" ht="30" customHeight="1" x14ac:dyDescent="0.3">
      <c r="A79" s="9">
        <v>35</v>
      </c>
      <c r="B79" s="24" t="s">
        <v>477</v>
      </c>
      <c r="C79" s="23" t="s">
        <v>70</v>
      </c>
      <c r="D79" s="25" t="s">
        <v>71</v>
      </c>
      <c r="E79" s="24" t="s">
        <v>71</v>
      </c>
      <c r="F79" s="24" t="s">
        <v>553</v>
      </c>
      <c r="G79" s="24"/>
      <c r="H79" s="24" t="s">
        <v>114</v>
      </c>
      <c r="I79" s="13" t="s">
        <v>69</v>
      </c>
      <c r="J79" s="13" t="s">
        <v>69</v>
      </c>
      <c r="K79" s="13" t="s">
        <v>69</v>
      </c>
      <c r="L79" s="13" t="s">
        <v>69</v>
      </c>
      <c r="M79" s="13" t="s">
        <v>69</v>
      </c>
      <c r="N79" s="14"/>
      <c r="O79" s="14"/>
      <c r="P79" s="15"/>
      <c r="Q79" s="16"/>
    </row>
    <row r="80" spans="1:17" ht="30" customHeight="1" x14ac:dyDescent="0.3">
      <c r="A80" s="9">
        <v>35</v>
      </c>
      <c r="B80" s="24" t="s">
        <v>477</v>
      </c>
      <c r="C80" s="23" t="s">
        <v>70</v>
      </c>
      <c r="D80" s="25" t="s">
        <v>71</v>
      </c>
      <c r="E80" s="24" t="s">
        <v>71</v>
      </c>
      <c r="F80" s="24" t="s">
        <v>554</v>
      </c>
      <c r="G80" s="24"/>
      <c r="H80" s="24" t="s">
        <v>114</v>
      </c>
      <c r="I80" s="13" t="s">
        <v>69</v>
      </c>
      <c r="J80" s="13" t="s">
        <v>69</v>
      </c>
      <c r="K80" s="13" t="s">
        <v>69</v>
      </c>
      <c r="L80" s="13" t="s">
        <v>69</v>
      </c>
      <c r="M80" s="13" t="s">
        <v>69</v>
      </c>
      <c r="N80" s="14"/>
      <c r="O80" s="14"/>
      <c r="P80" s="15"/>
      <c r="Q80" s="16"/>
    </row>
    <row r="81" spans="1:17" ht="30" customHeight="1" x14ac:dyDescent="0.3">
      <c r="A81" s="9">
        <v>35</v>
      </c>
      <c r="B81" s="24" t="s">
        <v>477</v>
      </c>
      <c r="C81" s="23" t="s">
        <v>70</v>
      </c>
      <c r="D81" s="25" t="s">
        <v>71</v>
      </c>
      <c r="E81" s="24" t="s">
        <v>71</v>
      </c>
      <c r="F81" s="24" t="s">
        <v>492</v>
      </c>
      <c r="G81" s="24"/>
      <c r="H81" s="24" t="s">
        <v>114</v>
      </c>
      <c r="I81" s="13" t="s">
        <v>69</v>
      </c>
      <c r="J81" s="13" t="s">
        <v>69</v>
      </c>
      <c r="K81" s="13" t="s">
        <v>69</v>
      </c>
      <c r="L81" s="13" t="s">
        <v>69</v>
      </c>
      <c r="M81" s="13" t="s">
        <v>69</v>
      </c>
      <c r="N81" s="14"/>
      <c r="O81" s="14"/>
      <c r="P81" s="15"/>
      <c r="Q81" s="16"/>
    </row>
    <row r="82" spans="1:17" ht="30" customHeight="1" x14ac:dyDescent="0.3">
      <c r="A82" s="9">
        <v>35</v>
      </c>
      <c r="B82" s="24" t="s">
        <v>477</v>
      </c>
      <c r="C82" s="23" t="s">
        <v>70</v>
      </c>
      <c r="D82" s="25" t="s">
        <v>71</v>
      </c>
      <c r="E82" s="24" t="s">
        <v>71</v>
      </c>
      <c r="F82" s="24" t="s">
        <v>493</v>
      </c>
      <c r="G82" s="24"/>
      <c r="H82" s="24" t="s">
        <v>114</v>
      </c>
      <c r="I82" s="13" t="s">
        <v>69</v>
      </c>
      <c r="J82" s="13" t="s">
        <v>69</v>
      </c>
      <c r="K82" s="13" t="s">
        <v>69</v>
      </c>
      <c r="L82" s="13" t="s">
        <v>69</v>
      </c>
      <c r="M82" s="13" t="s">
        <v>69</v>
      </c>
      <c r="N82" s="14"/>
      <c r="O82" s="14"/>
      <c r="P82" s="15"/>
      <c r="Q82" s="16"/>
    </row>
    <row r="83" spans="1:17" ht="30" customHeight="1" x14ac:dyDescent="0.3">
      <c r="A83" s="9">
        <v>35</v>
      </c>
      <c r="B83" s="24" t="s">
        <v>477</v>
      </c>
      <c r="C83" s="23" t="s">
        <v>70</v>
      </c>
      <c r="D83" s="25" t="s">
        <v>71</v>
      </c>
      <c r="E83" s="24" t="s">
        <v>71</v>
      </c>
      <c r="F83" s="24" t="s">
        <v>494</v>
      </c>
      <c r="G83" s="24"/>
      <c r="H83" s="24" t="s">
        <v>114</v>
      </c>
      <c r="I83" s="13" t="s">
        <v>69</v>
      </c>
      <c r="J83" s="13" t="s">
        <v>69</v>
      </c>
      <c r="K83" s="13" t="s">
        <v>69</v>
      </c>
      <c r="L83" s="13" t="s">
        <v>72</v>
      </c>
      <c r="M83" s="13" t="s">
        <v>69</v>
      </c>
      <c r="N83" s="14" t="s">
        <v>578</v>
      </c>
      <c r="O83" s="14"/>
      <c r="P83" s="15"/>
      <c r="Q83" s="16"/>
    </row>
    <row r="84" spans="1:17" ht="30" customHeight="1" x14ac:dyDescent="0.3">
      <c r="A84" s="9">
        <v>35</v>
      </c>
      <c r="B84" s="24" t="s">
        <v>477</v>
      </c>
      <c r="C84" s="23" t="s">
        <v>70</v>
      </c>
      <c r="D84" s="25" t="s">
        <v>71</v>
      </c>
      <c r="E84" s="24" t="s">
        <v>71</v>
      </c>
      <c r="F84" s="24" t="s">
        <v>555</v>
      </c>
      <c r="G84" s="24"/>
      <c r="H84" s="24" t="s">
        <v>114</v>
      </c>
      <c r="I84" s="13" t="s">
        <v>69</v>
      </c>
      <c r="J84" s="13" t="s">
        <v>69</v>
      </c>
      <c r="K84" s="13" t="s">
        <v>69</v>
      </c>
      <c r="L84" s="13" t="s">
        <v>69</v>
      </c>
      <c r="M84" s="13" t="s">
        <v>69</v>
      </c>
      <c r="N84" s="14"/>
      <c r="O84" s="14"/>
      <c r="P84" s="15"/>
      <c r="Q84" s="16"/>
    </row>
    <row r="85" spans="1:17" ht="30" customHeight="1" x14ac:dyDescent="0.3">
      <c r="A85" s="9">
        <v>35</v>
      </c>
      <c r="B85" s="24" t="s">
        <v>477</v>
      </c>
      <c r="C85" s="23" t="s">
        <v>70</v>
      </c>
      <c r="D85" s="25" t="s">
        <v>71</v>
      </c>
      <c r="E85" s="24" t="s">
        <v>71</v>
      </c>
      <c r="F85" s="24" t="s">
        <v>556</v>
      </c>
      <c r="G85" s="24"/>
      <c r="H85" s="24" t="s">
        <v>114</v>
      </c>
      <c r="I85" s="13" t="s">
        <v>69</v>
      </c>
      <c r="J85" s="13" t="s">
        <v>69</v>
      </c>
      <c r="K85" s="13" t="s">
        <v>69</v>
      </c>
      <c r="L85" s="13" t="s">
        <v>69</v>
      </c>
      <c r="M85" s="13" t="s">
        <v>69</v>
      </c>
      <c r="N85" s="14"/>
      <c r="O85" s="14"/>
      <c r="P85" s="15"/>
      <c r="Q85" s="16"/>
    </row>
    <row r="86" spans="1:17" ht="30" customHeight="1" x14ac:dyDescent="0.3">
      <c r="A86" s="9">
        <v>35</v>
      </c>
      <c r="B86" s="24" t="s">
        <v>477</v>
      </c>
      <c r="C86" s="23" t="s">
        <v>70</v>
      </c>
      <c r="D86" s="25" t="s">
        <v>76</v>
      </c>
      <c r="E86" s="24" t="s">
        <v>76</v>
      </c>
      <c r="F86" s="24" t="s">
        <v>409</v>
      </c>
      <c r="G86" s="24"/>
      <c r="H86" s="24" t="s">
        <v>114</v>
      </c>
      <c r="I86" s="13" t="s">
        <v>69</v>
      </c>
      <c r="J86" s="13" t="s">
        <v>69</v>
      </c>
      <c r="K86" s="13" t="s">
        <v>69</v>
      </c>
      <c r="L86" s="13" t="s">
        <v>69</v>
      </c>
      <c r="M86" s="13" t="s">
        <v>69</v>
      </c>
      <c r="N86" s="14"/>
      <c r="O86" s="14"/>
      <c r="P86" s="15"/>
      <c r="Q86" s="16"/>
    </row>
    <row r="87" spans="1:17" ht="30" customHeight="1" x14ac:dyDescent="0.3">
      <c r="A87" s="9">
        <v>35</v>
      </c>
      <c r="B87" s="24" t="s">
        <v>477</v>
      </c>
      <c r="C87" s="23" t="s">
        <v>70</v>
      </c>
      <c r="D87" s="25" t="s">
        <v>76</v>
      </c>
      <c r="E87" s="24" t="s">
        <v>76</v>
      </c>
      <c r="F87" s="24" t="s">
        <v>224</v>
      </c>
      <c r="G87" s="24"/>
      <c r="H87" s="24" t="s">
        <v>114</v>
      </c>
      <c r="I87" s="13" t="s">
        <v>69</v>
      </c>
      <c r="J87" s="13" t="s">
        <v>69</v>
      </c>
      <c r="K87" s="13" t="s">
        <v>69</v>
      </c>
      <c r="L87" s="13" t="s">
        <v>69</v>
      </c>
      <c r="M87" s="13" t="s">
        <v>69</v>
      </c>
      <c r="N87" s="14"/>
      <c r="O87" s="14"/>
      <c r="P87" s="15"/>
      <c r="Q87" s="16"/>
    </row>
    <row r="88" spans="1:17" ht="30" customHeight="1" x14ac:dyDescent="0.3">
      <c r="A88" s="9">
        <v>35</v>
      </c>
      <c r="B88" s="24" t="s">
        <v>477</v>
      </c>
      <c r="C88" s="23" t="s">
        <v>70</v>
      </c>
      <c r="D88" s="25" t="s">
        <v>76</v>
      </c>
      <c r="E88" s="24" t="s">
        <v>76</v>
      </c>
      <c r="F88" s="24" t="s">
        <v>225</v>
      </c>
      <c r="G88" s="24"/>
      <c r="H88" s="24" t="s">
        <v>114</v>
      </c>
      <c r="I88" s="13" t="s">
        <v>69</v>
      </c>
      <c r="J88" s="13" t="s">
        <v>69</v>
      </c>
      <c r="K88" s="13" t="s">
        <v>69</v>
      </c>
      <c r="L88" s="13" t="s">
        <v>69</v>
      </c>
      <c r="M88" s="13" t="s">
        <v>69</v>
      </c>
      <c r="N88" s="14"/>
      <c r="O88" s="14"/>
      <c r="P88" s="15"/>
      <c r="Q88" s="16"/>
    </row>
    <row r="89" spans="1:17" ht="30" customHeight="1" x14ac:dyDescent="0.3">
      <c r="A89" s="9">
        <v>35</v>
      </c>
      <c r="B89" s="24" t="s">
        <v>477</v>
      </c>
      <c r="C89" s="23" t="s">
        <v>70</v>
      </c>
      <c r="D89" s="25" t="s">
        <v>76</v>
      </c>
      <c r="E89" s="24" t="s">
        <v>76</v>
      </c>
      <c r="F89" s="24" t="s">
        <v>226</v>
      </c>
      <c r="G89" s="24"/>
      <c r="H89" s="24" t="s">
        <v>114</v>
      </c>
      <c r="I89" s="13" t="s">
        <v>69</v>
      </c>
      <c r="J89" s="13" t="s">
        <v>69</v>
      </c>
      <c r="K89" s="13" t="s">
        <v>69</v>
      </c>
      <c r="L89" s="13" t="s">
        <v>69</v>
      </c>
      <c r="M89" s="13" t="s">
        <v>69</v>
      </c>
      <c r="N89" s="14"/>
      <c r="O89" s="14"/>
      <c r="P89" s="15"/>
      <c r="Q89" s="16"/>
    </row>
    <row r="90" spans="1:17" ht="30" customHeight="1" x14ac:dyDescent="0.3">
      <c r="A90" s="9">
        <v>35</v>
      </c>
      <c r="B90" s="24" t="s">
        <v>477</v>
      </c>
      <c r="C90" s="23" t="s">
        <v>73</v>
      </c>
      <c r="D90" s="25" t="s">
        <v>74</v>
      </c>
      <c r="E90" s="24" t="s">
        <v>74</v>
      </c>
      <c r="F90" s="24" t="s">
        <v>423</v>
      </c>
      <c r="G90" s="24"/>
      <c r="H90" s="24" t="s">
        <v>114</v>
      </c>
      <c r="I90" s="13" t="s">
        <v>69</v>
      </c>
      <c r="J90" s="13" t="s">
        <v>69</v>
      </c>
      <c r="K90" s="13" t="s">
        <v>69</v>
      </c>
      <c r="L90" s="13" t="s">
        <v>69</v>
      </c>
      <c r="M90" s="13" t="s">
        <v>69</v>
      </c>
      <c r="N90" s="14"/>
      <c r="O90" s="14"/>
      <c r="P90" s="15"/>
      <c r="Q90" s="16"/>
    </row>
    <row r="91" spans="1:17" ht="30" customHeight="1" x14ac:dyDescent="0.3">
      <c r="A91" s="9">
        <v>35</v>
      </c>
      <c r="B91" s="24" t="s">
        <v>477</v>
      </c>
      <c r="C91" s="23" t="s">
        <v>73</v>
      </c>
      <c r="D91" s="25" t="s">
        <v>74</v>
      </c>
      <c r="E91" s="24" t="s">
        <v>74</v>
      </c>
      <c r="F91" s="24" t="s">
        <v>557</v>
      </c>
      <c r="G91" s="24"/>
      <c r="H91" s="24" t="s">
        <v>114</v>
      </c>
      <c r="I91" s="13" t="s">
        <v>69</v>
      </c>
      <c r="J91" s="13" t="s">
        <v>69</v>
      </c>
      <c r="K91" s="13" t="s">
        <v>69</v>
      </c>
      <c r="L91" s="13" t="s">
        <v>69</v>
      </c>
      <c r="M91" s="13" t="s">
        <v>69</v>
      </c>
      <c r="N91" s="14"/>
      <c r="O91" s="14"/>
      <c r="P91" s="15"/>
      <c r="Q91" s="16"/>
    </row>
    <row r="92" spans="1:17" ht="30" customHeight="1" x14ac:dyDescent="0.3">
      <c r="A92" s="9">
        <v>35</v>
      </c>
      <c r="B92" s="24" t="s">
        <v>477</v>
      </c>
      <c r="C92" s="23" t="s">
        <v>465</v>
      </c>
      <c r="D92" s="25" t="s">
        <v>77</v>
      </c>
      <c r="E92" s="24" t="s">
        <v>78</v>
      </c>
      <c r="F92" s="24" t="s">
        <v>558</v>
      </c>
      <c r="G92" s="24"/>
      <c r="H92" s="24" t="s">
        <v>114</v>
      </c>
      <c r="I92" s="13" t="s">
        <v>69</v>
      </c>
      <c r="J92" s="13" t="s">
        <v>69</v>
      </c>
      <c r="K92" s="13" t="s">
        <v>69</v>
      </c>
      <c r="L92" s="13" t="s">
        <v>69</v>
      </c>
      <c r="M92" s="13" t="s">
        <v>69</v>
      </c>
      <c r="N92" s="14"/>
      <c r="O92" s="14"/>
      <c r="P92" s="15"/>
      <c r="Q92" s="16"/>
    </row>
    <row r="93" spans="1:17" ht="30" customHeight="1" x14ac:dyDescent="0.3">
      <c r="A93" s="9">
        <v>35</v>
      </c>
      <c r="B93" s="24" t="s">
        <v>476</v>
      </c>
      <c r="C93" s="23" t="s">
        <v>465</v>
      </c>
      <c r="D93" s="25" t="s">
        <v>90</v>
      </c>
      <c r="E93" s="24" t="s">
        <v>91</v>
      </c>
      <c r="F93" s="24" t="s">
        <v>240</v>
      </c>
      <c r="G93" s="24"/>
      <c r="H93" s="24" t="s">
        <v>114</v>
      </c>
      <c r="I93" s="13" t="s">
        <v>69</v>
      </c>
      <c r="J93" s="13" t="s">
        <v>69</v>
      </c>
      <c r="K93" s="13" t="s">
        <v>69</v>
      </c>
      <c r="L93" s="13" t="s">
        <v>69</v>
      </c>
      <c r="M93" s="13" t="s">
        <v>69</v>
      </c>
      <c r="N93" s="14"/>
      <c r="O93" s="14"/>
      <c r="P93" s="15"/>
      <c r="Q93" s="16"/>
    </row>
    <row r="94" spans="1:17" ht="30" customHeight="1" x14ac:dyDescent="0.3">
      <c r="A94" s="9">
        <v>35</v>
      </c>
      <c r="B94" s="24" t="s">
        <v>476</v>
      </c>
      <c r="C94" s="23" t="s">
        <v>465</v>
      </c>
      <c r="D94" s="25" t="s">
        <v>90</v>
      </c>
      <c r="E94" s="24" t="s">
        <v>91</v>
      </c>
      <c r="F94" s="24" t="s">
        <v>241</v>
      </c>
      <c r="G94" s="24"/>
      <c r="H94" s="24" t="s">
        <v>114</v>
      </c>
      <c r="I94" s="13" t="s">
        <v>69</v>
      </c>
      <c r="J94" s="13" t="s">
        <v>69</v>
      </c>
      <c r="K94" s="13" t="s">
        <v>69</v>
      </c>
      <c r="L94" s="13" t="s">
        <v>69</v>
      </c>
      <c r="M94" s="13" t="s">
        <v>69</v>
      </c>
      <c r="N94" s="14"/>
      <c r="O94" s="14"/>
      <c r="P94" s="15"/>
      <c r="Q94" s="16"/>
    </row>
    <row r="95" spans="1:17" ht="30" customHeight="1" x14ac:dyDescent="0.3">
      <c r="A95" s="9">
        <v>35</v>
      </c>
      <c r="B95" s="24" t="s">
        <v>476</v>
      </c>
      <c r="C95" s="23" t="s">
        <v>465</v>
      </c>
      <c r="D95" s="25" t="s">
        <v>90</v>
      </c>
      <c r="E95" s="24" t="s">
        <v>91</v>
      </c>
      <c r="F95" s="24" t="s">
        <v>242</v>
      </c>
      <c r="G95" s="24"/>
      <c r="H95" s="24" t="s">
        <v>114</v>
      </c>
      <c r="I95" s="13" t="s">
        <v>69</v>
      </c>
      <c r="J95" s="13" t="s">
        <v>69</v>
      </c>
      <c r="K95" s="13" t="s">
        <v>69</v>
      </c>
      <c r="L95" s="13" t="s">
        <v>69</v>
      </c>
      <c r="M95" s="13" t="s">
        <v>69</v>
      </c>
      <c r="N95" s="14" t="s">
        <v>566</v>
      </c>
      <c r="O95" s="14"/>
      <c r="P95" s="15"/>
      <c r="Q95" s="16"/>
    </row>
    <row r="96" spans="1:17" ht="30" customHeight="1" x14ac:dyDescent="0.3">
      <c r="A96" s="9">
        <v>35</v>
      </c>
      <c r="B96" s="24" t="s">
        <v>476</v>
      </c>
      <c r="C96" s="23" t="s">
        <v>465</v>
      </c>
      <c r="D96" s="25" t="s">
        <v>90</v>
      </c>
      <c r="E96" s="24" t="s">
        <v>91</v>
      </c>
      <c r="F96" s="24" t="s">
        <v>559</v>
      </c>
      <c r="G96" s="24"/>
      <c r="H96" s="24" t="s">
        <v>114</v>
      </c>
      <c r="I96" s="13" t="s">
        <v>69</v>
      </c>
      <c r="J96" s="13" t="s">
        <v>69</v>
      </c>
      <c r="K96" s="13" t="s">
        <v>69</v>
      </c>
      <c r="L96" s="13" t="s">
        <v>69</v>
      </c>
      <c r="M96" s="13" t="s">
        <v>69</v>
      </c>
      <c r="N96" s="14" t="s">
        <v>566</v>
      </c>
      <c r="O96" s="14"/>
      <c r="P96" s="15"/>
      <c r="Q96" s="16"/>
    </row>
    <row r="97" spans="1:17" ht="30" customHeight="1" x14ac:dyDescent="0.3">
      <c r="A97" s="9">
        <v>35</v>
      </c>
      <c r="B97" s="24" t="s">
        <v>476</v>
      </c>
      <c r="C97" s="23" t="s">
        <v>465</v>
      </c>
      <c r="D97" s="25" t="s">
        <v>90</v>
      </c>
      <c r="E97" s="24" t="s">
        <v>91</v>
      </c>
      <c r="F97" s="24" t="s">
        <v>243</v>
      </c>
      <c r="G97" s="24"/>
      <c r="H97" s="24" t="s">
        <v>114</v>
      </c>
      <c r="I97" s="13" t="s">
        <v>69</v>
      </c>
      <c r="J97" s="13" t="s">
        <v>69</v>
      </c>
      <c r="K97" s="13" t="s">
        <v>69</v>
      </c>
      <c r="L97" s="13" t="s">
        <v>69</v>
      </c>
      <c r="M97" s="13" t="s">
        <v>69</v>
      </c>
      <c r="N97" s="14" t="s">
        <v>566</v>
      </c>
      <c r="O97" s="14"/>
      <c r="P97" s="15"/>
      <c r="Q97" s="16"/>
    </row>
    <row r="98" spans="1:17" ht="30" customHeight="1" x14ac:dyDescent="0.3">
      <c r="A98" s="9">
        <v>35</v>
      </c>
      <c r="B98" s="24" t="s">
        <v>476</v>
      </c>
      <c r="C98" s="23" t="s">
        <v>465</v>
      </c>
      <c r="D98" s="25" t="s">
        <v>90</v>
      </c>
      <c r="E98" s="24" t="s">
        <v>91</v>
      </c>
      <c r="F98" s="24" t="s">
        <v>244</v>
      </c>
      <c r="G98" s="24"/>
      <c r="H98" s="24" t="s">
        <v>114</v>
      </c>
      <c r="I98" s="13" t="s">
        <v>69</v>
      </c>
      <c r="J98" s="13" t="s">
        <v>69</v>
      </c>
      <c r="K98" s="13" t="s">
        <v>69</v>
      </c>
      <c r="L98" s="13" t="s">
        <v>69</v>
      </c>
      <c r="M98" s="13" t="s">
        <v>69</v>
      </c>
      <c r="N98" s="14" t="s">
        <v>578</v>
      </c>
      <c r="O98" s="14"/>
      <c r="P98" s="15"/>
      <c r="Q98" s="16"/>
    </row>
    <row r="99" spans="1:17" ht="30" customHeight="1" x14ac:dyDescent="0.3">
      <c r="A99" s="9">
        <v>35</v>
      </c>
      <c r="B99" s="24" t="s">
        <v>476</v>
      </c>
      <c r="C99" s="23" t="s">
        <v>465</v>
      </c>
      <c r="D99" s="25" t="s">
        <v>90</v>
      </c>
      <c r="E99" s="24" t="s">
        <v>91</v>
      </c>
      <c r="F99" s="24" t="s">
        <v>245</v>
      </c>
      <c r="G99" s="24"/>
      <c r="H99" s="24" t="s">
        <v>114</v>
      </c>
      <c r="I99" s="13" t="s">
        <v>69</v>
      </c>
      <c r="J99" s="13" t="s">
        <v>69</v>
      </c>
      <c r="K99" s="13" t="s">
        <v>69</v>
      </c>
      <c r="L99" s="13" t="s">
        <v>69</v>
      </c>
      <c r="M99" s="13" t="s">
        <v>69</v>
      </c>
      <c r="N99" s="14"/>
      <c r="O99" s="14"/>
      <c r="P99" s="15"/>
      <c r="Q99" s="16"/>
    </row>
    <row r="100" spans="1:17" ht="30" customHeight="1" x14ac:dyDescent="0.3">
      <c r="A100" s="9">
        <v>35</v>
      </c>
      <c r="B100" s="24" t="s">
        <v>476</v>
      </c>
      <c r="C100" s="23" t="s">
        <v>465</v>
      </c>
      <c r="D100" s="25" t="s">
        <v>90</v>
      </c>
      <c r="E100" s="24" t="s">
        <v>91</v>
      </c>
      <c r="F100" s="24" t="s">
        <v>495</v>
      </c>
      <c r="G100" s="24"/>
      <c r="H100" s="24" t="s">
        <v>114</v>
      </c>
      <c r="I100" s="13" t="s">
        <v>69</v>
      </c>
      <c r="J100" s="13" t="s">
        <v>69</v>
      </c>
      <c r="K100" s="13" t="s">
        <v>69</v>
      </c>
      <c r="L100" s="13" t="s">
        <v>69</v>
      </c>
      <c r="M100" s="13" t="s">
        <v>69</v>
      </c>
      <c r="N100" s="14"/>
      <c r="O100" s="14"/>
      <c r="P100" s="15"/>
      <c r="Q100" s="16"/>
    </row>
    <row r="101" spans="1:17" ht="30" customHeight="1" x14ac:dyDescent="0.3">
      <c r="A101" s="9">
        <v>35</v>
      </c>
      <c r="B101" s="24" t="s">
        <v>476</v>
      </c>
      <c r="C101" s="23" t="s">
        <v>465</v>
      </c>
      <c r="D101" s="25" t="s">
        <v>68</v>
      </c>
      <c r="E101" s="24" t="s">
        <v>68</v>
      </c>
      <c r="F101" s="24" t="s">
        <v>227</v>
      </c>
      <c r="G101" s="24"/>
      <c r="H101" s="24" t="s">
        <v>114</v>
      </c>
      <c r="I101" s="13" t="s">
        <v>69</v>
      </c>
      <c r="J101" s="13" t="s">
        <v>69</v>
      </c>
      <c r="K101" s="13" t="s">
        <v>69</v>
      </c>
      <c r="L101" s="13" t="s">
        <v>69</v>
      </c>
      <c r="M101" s="13" t="s">
        <v>69</v>
      </c>
      <c r="N101" s="14"/>
      <c r="O101" s="14"/>
      <c r="P101" s="15"/>
      <c r="Q101" s="16"/>
    </row>
    <row r="102" spans="1:17" ht="30" customHeight="1" x14ac:dyDescent="0.3">
      <c r="A102" s="9">
        <v>35</v>
      </c>
      <c r="B102" s="24" t="s">
        <v>476</v>
      </c>
      <c r="C102" s="23" t="s">
        <v>79</v>
      </c>
      <c r="D102" s="25" t="s">
        <v>121</v>
      </c>
      <c r="E102" s="24" t="s">
        <v>128</v>
      </c>
      <c r="F102" s="24" t="s">
        <v>496</v>
      </c>
      <c r="G102" s="24"/>
      <c r="H102" s="24" t="s">
        <v>114</v>
      </c>
      <c r="I102" s="13" t="s">
        <v>69</v>
      </c>
      <c r="J102" s="13" t="s">
        <v>69</v>
      </c>
      <c r="K102" s="13" t="s">
        <v>72</v>
      </c>
      <c r="L102" s="13" t="s">
        <v>69</v>
      </c>
      <c r="M102" s="13" t="s">
        <v>69</v>
      </c>
      <c r="N102" s="14" t="s">
        <v>566</v>
      </c>
      <c r="O102" s="14"/>
      <c r="P102" s="15"/>
      <c r="Q102" s="16"/>
    </row>
    <row r="103" spans="1:17" ht="30" customHeight="1" x14ac:dyDescent="0.3">
      <c r="A103" s="9">
        <v>35</v>
      </c>
      <c r="B103" s="24" t="s">
        <v>476</v>
      </c>
      <c r="C103" s="23" t="s">
        <v>79</v>
      </c>
      <c r="D103" s="25" t="s">
        <v>121</v>
      </c>
      <c r="E103" s="24" t="s">
        <v>91</v>
      </c>
      <c r="F103" s="24" t="s">
        <v>560</v>
      </c>
      <c r="G103" s="24"/>
      <c r="H103" s="24" t="s">
        <v>114</v>
      </c>
      <c r="I103" s="13" t="s">
        <v>69</v>
      </c>
      <c r="J103" s="13" t="s">
        <v>69</v>
      </c>
      <c r="K103" s="13" t="s">
        <v>69</v>
      </c>
      <c r="L103" s="13" t="s">
        <v>69</v>
      </c>
      <c r="M103" s="13" t="s">
        <v>69</v>
      </c>
      <c r="N103" s="14"/>
      <c r="O103" s="14"/>
      <c r="P103" s="15"/>
      <c r="Q103" s="16"/>
    </row>
    <row r="104" spans="1:17" ht="30" customHeight="1" x14ac:dyDescent="0.3">
      <c r="A104" s="9">
        <v>35</v>
      </c>
      <c r="B104" s="24" t="s">
        <v>476</v>
      </c>
      <c r="C104" s="23" t="s">
        <v>79</v>
      </c>
      <c r="D104" s="25" t="s">
        <v>121</v>
      </c>
      <c r="E104" s="24" t="s">
        <v>128</v>
      </c>
      <c r="F104" s="24" t="s">
        <v>497</v>
      </c>
      <c r="G104" s="24"/>
      <c r="H104" s="24" t="s">
        <v>114</v>
      </c>
      <c r="I104" s="13" t="s">
        <v>69</v>
      </c>
      <c r="J104" s="13" t="s">
        <v>69</v>
      </c>
      <c r="K104" s="13" t="s">
        <v>69</v>
      </c>
      <c r="L104" s="13" t="s">
        <v>69</v>
      </c>
      <c r="M104" s="13" t="s">
        <v>69</v>
      </c>
      <c r="N104" s="14"/>
      <c r="O104" s="14"/>
      <c r="P104" s="15"/>
      <c r="Q104" s="16"/>
    </row>
    <row r="105" spans="1:17" ht="30" customHeight="1" x14ac:dyDescent="0.3">
      <c r="A105" s="9">
        <v>35</v>
      </c>
      <c r="B105" s="24" t="s">
        <v>476</v>
      </c>
      <c r="C105" s="23" t="s">
        <v>79</v>
      </c>
      <c r="D105" s="25" t="s">
        <v>121</v>
      </c>
      <c r="E105" s="24" t="s">
        <v>122</v>
      </c>
      <c r="F105" s="24" t="s">
        <v>498</v>
      </c>
      <c r="G105" s="24"/>
      <c r="H105" s="24" t="s">
        <v>114</v>
      </c>
      <c r="I105" s="13" t="s">
        <v>69</v>
      </c>
      <c r="J105" s="13" t="s">
        <v>69</v>
      </c>
      <c r="K105" s="13" t="s">
        <v>69</v>
      </c>
      <c r="L105" s="13" t="s">
        <v>69</v>
      </c>
      <c r="M105" s="13" t="s">
        <v>69</v>
      </c>
      <c r="N105" s="14"/>
      <c r="O105" s="14"/>
      <c r="P105" s="15"/>
      <c r="Q105" s="16"/>
    </row>
    <row r="106" spans="1:17" ht="30" customHeight="1" x14ac:dyDescent="0.3">
      <c r="A106" s="9">
        <v>35</v>
      </c>
      <c r="B106" s="24" t="s">
        <v>476</v>
      </c>
      <c r="C106" s="23" t="s">
        <v>79</v>
      </c>
      <c r="D106" s="25" t="s">
        <v>121</v>
      </c>
      <c r="E106" s="24" t="s">
        <v>122</v>
      </c>
      <c r="F106" s="24" t="s">
        <v>499</v>
      </c>
      <c r="G106" s="24"/>
      <c r="H106" s="24" t="s">
        <v>114</v>
      </c>
      <c r="I106" s="13" t="s">
        <v>69</v>
      </c>
      <c r="J106" s="13" t="s">
        <v>69</v>
      </c>
      <c r="K106" s="13" t="s">
        <v>69</v>
      </c>
      <c r="L106" s="13" t="s">
        <v>69</v>
      </c>
      <c r="M106" s="13" t="s">
        <v>69</v>
      </c>
      <c r="N106" s="14"/>
      <c r="O106" s="14"/>
      <c r="P106" s="15"/>
      <c r="Q106" s="16"/>
    </row>
    <row r="107" spans="1:17" ht="30" customHeight="1" x14ac:dyDescent="0.3">
      <c r="A107" s="9">
        <v>35</v>
      </c>
      <c r="B107" s="24" t="s">
        <v>476</v>
      </c>
      <c r="C107" s="23" t="s">
        <v>79</v>
      </c>
      <c r="D107" s="25" t="s">
        <v>121</v>
      </c>
      <c r="E107" s="24" t="s">
        <v>122</v>
      </c>
      <c r="F107" s="24" t="s">
        <v>500</v>
      </c>
      <c r="G107" s="24"/>
      <c r="H107" s="24" t="s">
        <v>114</v>
      </c>
      <c r="I107" s="13" t="s">
        <v>69</v>
      </c>
      <c r="J107" s="13" t="s">
        <v>69</v>
      </c>
      <c r="K107" s="13" t="s">
        <v>69</v>
      </c>
      <c r="L107" s="13" t="s">
        <v>69</v>
      </c>
      <c r="M107" s="13" t="s">
        <v>69</v>
      </c>
      <c r="N107" s="14"/>
      <c r="O107" s="14"/>
      <c r="P107" s="15"/>
      <c r="Q107" s="16"/>
    </row>
    <row r="108" spans="1:17" ht="30" customHeight="1" x14ac:dyDescent="0.3">
      <c r="A108" s="9">
        <v>35</v>
      </c>
      <c r="B108" s="24" t="s">
        <v>476</v>
      </c>
      <c r="C108" s="23" t="s">
        <v>79</v>
      </c>
      <c r="D108" s="25" t="s">
        <v>121</v>
      </c>
      <c r="E108" s="24" t="s">
        <v>122</v>
      </c>
      <c r="F108" s="24" t="s">
        <v>501</v>
      </c>
      <c r="G108" s="24"/>
      <c r="H108" s="24" t="s">
        <v>114</v>
      </c>
      <c r="I108" s="13" t="s">
        <v>69</v>
      </c>
      <c r="J108" s="13" t="s">
        <v>69</v>
      </c>
      <c r="K108" s="13" t="s">
        <v>69</v>
      </c>
      <c r="L108" s="13" t="s">
        <v>69</v>
      </c>
      <c r="M108" s="13" t="s">
        <v>69</v>
      </c>
      <c r="N108" s="14"/>
      <c r="O108" s="14"/>
      <c r="P108" s="15"/>
      <c r="Q108" s="16"/>
    </row>
    <row r="109" spans="1:17" ht="30" customHeight="1" x14ac:dyDescent="0.3">
      <c r="A109" s="9">
        <v>35</v>
      </c>
      <c r="B109" s="24" t="s">
        <v>476</v>
      </c>
      <c r="C109" s="23" t="s">
        <v>79</v>
      </c>
      <c r="D109" s="25" t="s">
        <v>121</v>
      </c>
      <c r="E109" s="24" t="s">
        <v>127</v>
      </c>
      <c r="F109" s="24" t="s">
        <v>502</v>
      </c>
      <c r="G109" s="24"/>
      <c r="H109" s="24" t="s">
        <v>114</v>
      </c>
      <c r="I109" s="13" t="s">
        <v>69</v>
      </c>
      <c r="J109" s="13" t="s">
        <v>69</v>
      </c>
      <c r="K109" s="13" t="s">
        <v>69</v>
      </c>
      <c r="L109" s="13" t="s">
        <v>69</v>
      </c>
      <c r="M109" s="13" t="s">
        <v>69</v>
      </c>
      <c r="N109" s="14" t="s">
        <v>578</v>
      </c>
      <c r="O109" s="14"/>
      <c r="P109" s="15"/>
      <c r="Q109" s="16"/>
    </row>
    <row r="110" spans="1:17" ht="30" customHeight="1" x14ac:dyDescent="0.3">
      <c r="A110" s="9">
        <v>35</v>
      </c>
      <c r="B110" s="24" t="s">
        <v>476</v>
      </c>
      <c r="C110" s="23" t="s">
        <v>41</v>
      </c>
      <c r="D110" s="25" t="s">
        <v>92</v>
      </c>
      <c r="E110" s="24" t="s">
        <v>92</v>
      </c>
      <c r="F110" s="24" t="s">
        <v>561</v>
      </c>
      <c r="G110" s="24"/>
      <c r="H110" s="24" t="s">
        <v>114</v>
      </c>
      <c r="I110" s="13" t="s">
        <v>69</v>
      </c>
      <c r="J110" s="13" t="s">
        <v>69</v>
      </c>
      <c r="K110" s="13" t="s">
        <v>69</v>
      </c>
      <c r="L110" s="13" t="s">
        <v>69</v>
      </c>
      <c r="M110" s="13" t="s">
        <v>69</v>
      </c>
      <c r="N110" s="14"/>
      <c r="O110" s="14"/>
      <c r="P110" s="15"/>
      <c r="Q110" s="16"/>
    </row>
    <row r="111" spans="1:17" ht="30" customHeight="1" x14ac:dyDescent="0.3">
      <c r="A111" s="9">
        <v>35</v>
      </c>
      <c r="B111" s="24" t="s">
        <v>476</v>
      </c>
      <c r="C111" s="23" t="s">
        <v>41</v>
      </c>
      <c r="D111" s="25" t="s">
        <v>92</v>
      </c>
      <c r="E111" s="24" t="s">
        <v>92</v>
      </c>
      <c r="F111" s="24" t="s">
        <v>562</v>
      </c>
      <c r="G111" s="24"/>
      <c r="H111" s="24" t="s">
        <v>114</v>
      </c>
      <c r="I111" s="13" t="s">
        <v>69</v>
      </c>
      <c r="J111" s="13" t="s">
        <v>69</v>
      </c>
      <c r="K111" s="13" t="s">
        <v>69</v>
      </c>
      <c r="L111" s="13" t="s">
        <v>69</v>
      </c>
      <c r="M111" s="13" t="s">
        <v>69</v>
      </c>
      <c r="N111" s="14"/>
      <c r="O111" s="14"/>
      <c r="P111" s="15"/>
      <c r="Q111" s="16"/>
    </row>
    <row r="112" spans="1:17" ht="30" customHeight="1" x14ac:dyDescent="0.3">
      <c r="A112" s="9">
        <v>35</v>
      </c>
      <c r="B112" s="24" t="s">
        <v>476</v>
      </c>
      <c r="C112" s="23" t="s">
        <v>41</v>
      </c>
      <c r="D112" s="25" t="s">
        <v>92</v>
      </c>
      <c r="E112" s="24" t="s">
        <v>92</v>
      </c>
      <c r="F112" s="24" t="s">
        <v>234</v>
      </c>
      <c r="G112" s="24"/>
      <c r="H112" s="24" t="s">
        <v>114</v>
      </c>
      <c r="I112" s="13" t="s">
        <v>69</v>
      </c>
      <c r="J112" s="13" t="s">
        <v>69</v>
      </c>
      <c r="K112" s="13" t="s">
        <v>69</v>
      </c>
      <c r="L112" s="13" t="s">
        <v>69</v>
      </c>
      <c r="M112" s="13" t="s">
        <v>69</v>
      </c>
      <c r="N112" s="14"/>
      <c r="O112" s="14"/>
      <c r="P112" s="15"/>
      <c r="Q112" s="16"/>
    </row>
    <row r="113" spans="1:17" ht="30" customHeight="1" x14ac:dyDescent="0.3">
      <c r="A113" s="9">
        <v>35</v>
      </c>
      <c r="B113" s="24" t="s">
        <v>476</v>
      </c>
      <c r="C113" s="23" t="s">
        <v>41</v>
      </c>
      <c r="D113" s="25" t="s">
        <v>92</v>
      </c>
      <c r="E113" s="24" t="s">
        <v>92</v>
      </c>
      <c r="F113" s="24" t="s">
        <v>235</v>
      </c>
      <c r="G113" s="24"/>
      <c r="H113" s="24" t="s">
        <v>114</v>
      </c>
      <c r="I113" s="13" t="s">
        <v>72</v>
      </c>
      <c r="J113" s="13" t="s">
        <v>69</v>
      </c>
      <c r="K113" s="13" t="s">
        <v>69</v>
      </c>
      <c r="L113" s="13" t="s">
        <v>69</v>
      </c>
      <c r="M113" s="13" t="s">
        <v>69</v>
      </c>
      <c r="N113" s="14" t="s">
        <v>578</v>
      </c>
      <c r="O113" s="14"/>
      <c r="P113" s="15"/>
      <c r="Q113" s="16"/>
    </row>
    <row r="114" spans="1:17" ht="30" customHeight="1" x14ac:dyDescent="0.3">
      <c r="A114" s="9">
        <v>35</v>
      </c>
      <c r="B114" s="24" t="s">
        <v>476</v>
      </c>
      <c r="C114" s="23" t="s">
        <v>41</v>
      </c>
      <c r="D114" s="25" t="s">
        <v>92</v>
      </c>
      <c r="E114" s="24" t="s">
        <v>92</v>
      </c>
      <c r="F114" s="24" t="s">
        <v>236</v>
      </c>
      <c r="G114" s="24"/>
      <c r="H114" s="24" t="s">
        <v>114</v>
      </c>
      <c r="I114" s="13" t="s">
        <v>72</v>
      </c>
      <c r="J114" s="13" t="s">
        <v>69</v>
      </c>
      <c r="K114" s="13" t="s">
        <v>69</v>
      </c>
      <c r="L114" s="13" t="s">
        <v>69</v>
      </c>
      <c r="M114" s="13" t="s">
        <v>69</v>
      </c>
      <c r="N114" s="14" t="s">
        <v>578</v>
      </c>
      <c r="O114" s="14"/>
      <c r="P114" s="15"/>
      <c r="Q114" s="16"/>
    </row>
    <row r="115" spans="1:17" ht="30" customHeight="1" x14ac:dyDescent="0.3">
      <c r="A115" s="9">
        <v>35</v>
      </c>
      <c r="B115" s="24" t="s">
        <v>476</v>
      </c>
      <c r="C115" s="23" t="s">
        <v>41</v>
      </c>
      <c r="D115" s="25" t="s">
        <v>92</v>
      </c>
      <c r="E115" s="24" t="s">
        <v>92</v>
      </c>
      <c r="F115" s="24" t="s">
        <v>237</v>
      </c>
      <c r="G115" s="24"/>
      <c r="H115" s="24" t="s">
        <v>114</v>
      </c>
      <c r="I115" s="13" t="s">
        <v>72</v>
      </c>
      <c r="J115" s="13" t="s">
        <v>69</v>
      </c>
      <c r="K115" s="13" t="s">
        <v>69</v>
      </c>
      <c r="L115" s="13" t="s">
        <v>69</v>
      </c>
      <c r="M115" s="13" t="s">
        <v>69</v>
      </c>
      <c r="N115" s="14" t="s">
        <v>578</v>
      </c>
      <c r="O115" s="14"/>
      <c r="P115" s="15"/>
      <c r="Q115" s="16"/>
    </row>
    <row r="116" spans="1:17" ht="30" customHeight="1" x14ac:dyDescent="0.3">
      <c r="A116" s="9">
        <v>35</v>
      </c>
      <c r="B116" s="24" t="s">
        <v>476</v>
      </c>
      <c r="C116" s="23" t="s">
        <v>41</v>
      </c>
      <c r="D116" s="25" t="s">
        <v>92</v>
      </c>
      <c r="E116" s="24" t="s">
        <v>92</v>
      </c>
      <c r="F116" s="24" t="s">
        <v>238</v>
      </c>
      <c r="G116" s="24"/>
      <c r="H116" s="24" t="s">
        <v>114</v>
      </c>
      <c r="I116" s="13" t="s">
        <v>72</v>
      </c>
      <c r="J116" s="13" t="s">
        <v>69</v>
      </c>
      <c r="K116" s="13" t="s">
        <v>69</v>
      </c>
      <c r="L116" s="13" t="s">
        <v>69</v>
      </c>
      <c r="M116" s="13" t="s">
        <v>69</v>
      </c>
      <c r="N116" s="14" t="s">
        <v>578</v>
      </c>
      <c r="O116" s="14"/>
      <c r="P116" s="15"/>
      <c r="Q116" s="16"/>
    </row>
    <row r="117" spans="1:17" ht="30" customHeight="1" x14ac:dyDescent="0.3">
      <c r="A117" s="9">
        <v>35</v>
      </c>
      <c r="B117" s="24" t="s">
        <v>476</v>
      </c>
      <c r="C117" s="23" t="s">
        <v>41</v>
      </c>
      <c r="D117" s="25" t="s">
        <v>92</v>
      </c>
      <c r="E117" s="24" t="s">
        <v>92</v>
      </c>
      <c r="F117" s="24" t="s">
        <v>233</v>
      </c>
      <c r="G117" s="24"/>
      <c r="H117" s="24" t="s">
        <v>114</v>
      </c>
      <c r="I117" s="13" t="s">
        <v>72</v>
      </c>
      <c r="J117" s="13" t="s">
        <v>69</v>
      </c>
      <c r="K117" s="13" t="s">
        <v>69</v>
      </c>
      <c r="L117" s="13" t="s">
        <v>69</v>
      </c>
      <c r="M117" s="13" t="s">
        <v>69</v>
      </c>
      <c r="N117" s="14" t="s">
        <v>578</v>
      </c>
      <c r="O117" s="14"/>
      <c r="P117" s="15"/>
      <c r="Q117" s="16"/>
    </row>
    <row r="118" spans="1:17" ht="30" customHeight="1" x14ac:dyDescent="0.3">
      <c r="A118" s="9">
        <v>35</v>
      </c>
      <c r="B118" s="24" t="s">
        <v>476</v>
      </c>
      <c r="C118" s="23" t="s">
        <v>41</v>
      </c>
      <c r="D118" s="25" t="s">
        <v>92</v>
      </c>
      <c r="E118" s="24" t="s">
        <v>92</v>
      </c>
      <c r="F118" s="24" t="s">
        <v>563</v>
      </c>
      <c r="G118" s="24"/>
      <c r="H118" s="24" t="s">
        <v>114</v>
      </c>
      <c r="I118" s="13" t="s">
        <v>72</v>
      </c>
      <c r="J118" s="13" t="s">
        <v>69</v>
      </c>
      <c r="K118" s="13" t="s">
        <v>69</v>
      </c>
      <c r="L118" s="13" t="s">
        <v>69</v>
      </c>
      <c r="M118" s="13" t="s">
        <v>69</v>
      </c>
      <c r="N118" s="14" t="s">
        <v>578</v>
      </c>
      <c r="O118" s="14"/>
      <c r="P118" s="15"/>
      <c r="Q118" s="16"/>
    </row>
  </sheetData>
  <mergeCells count="3">
    <mergeCell ref="A3:Q3"/>
    <mergeCell ref="A2:Q2"/>
    <mergeCell ref="A1:Q1"/>
  </mergeCells>
  <conditionalFormatting sqref="I9:M15">
    <cfRule type="expression" dxfId="400" priority="394">
      <formula>AND(I9&lt;&gt;"",ISNUMBER(SEARCH("NO CUMPLE",I9)))</formula>
    </cfRule>
    <cfRule type="expression" dxfId="399" priority="395">
      <formula>AND(I9&lt;&gt;"",ISNUMBER(SEARCH("PARCIALMENTE",I9)))</formula>
    </cfRule>
    <cfRule type="expression" dxfId="398" priority="396">
      <formula>AND(I9&lt;&gt;"",ISNUMBER(SEARCH("CUMPLE",I9)),NOT(ISNUMBER(SEARCH("NO CUMPLE",I9))),NOT(ISNUMBER(SEARCH("PARCIALMENTE",I9))))</formula>
    </cfRule>
  </conditionalFormatting>
  <conditionalFormatting sqref="Q6:Q118">
    <cfRule type="expression" dxfId="397" priority="403">
      <formula>ISNUMBER(SEARCH("ALERTA",Q6))</formula>
    </cfRule>
    <cfRule type="expression" dxfId="396" priority="420">
      <formula>AND(Q6&lt;&gt;"",ISNUMBER(SEARCH("NO CUMPLE",Q6)))</formula>
    </cfRule>
    <cfRule type="expression" dxfId="395" priority="421">
      <formula>AND(Q6&lt;&gt;"",ISNUMBER(SEARCH("PARCIALMENTE",Q6)))</formula>
    </cfRule>
    <cfRule type="expression" dxfId="394" priority="422">
      <formula>AND(Q6&lt;&gt;"",ISNUMBER(SEARCH("CUMPLE",Q6)),NOT(ISNUMBER(SEARCH("NO CUMPLE",Q6))),NOT(ISNUMBER(SEARCH("PARCIALMENTE",Q6))))</formula>
    </cfRule>
    <cfRule type="expression" dxfId="393" priority="423">
      <formula>ISNUMBER(SEARCH("ALERTA",Q6))</formula>
    </cfRule>
  </conditionalFormatting>
  <conditionalFormatting sqref="I8:M8">
    <cfRule type="expression" dxfId="392" priority="391">
      <formula>AND(I8&lt;&gt;"",ISNUMBER(SEARCH("NO CUMPLE",I8)))</formula>
    </cfRule>
    <cfRule type="expression" dxfId="391" priority="392">
      <formula>AND(I8&lt;&gt;"",ISNUMBER(SEARCH("PARCIALMENTE",I8)))</formula>
    </cfRule>
    <cfRule type="expression" dxfId="390" priority="393">
      <formula>AND(I8&lt;&gt;"",ISNUMBER(SEARCH("CUMPLE",I8)),NOT(ISNUMBER(SEARCH("NO CUMPLE",I8))),NOT(ISNUMBER(SEARCH("PARCIALMENTE",I8))))</formula>
    </cfRule>
  </conditionalFormatting>
  <conditionalFormatting sqref="I7:M7">
    <cfRule type="expression" dxfId="389" priority="388">
      <formula>AND(I7&lt;&gt;"",ISNUMBER(SEARCH("NO CUMPLE",I7)))</formula>
    </cfRule>
    <cfRule type="expression" dxfId="388" priority="389">
      <formula>AND(I7&lt;&gt;"",ISNUMBER(SEARCH("PARCIALMENTE",I7)))</formula>
    </cfRule>
    <cfRule type="expression" dxfId="387" priority="390">
      <formula>AND(I7&lt;&gt;"",ISNUMBER(SEARCH("CUMPLE",I7)),NOT(ISNUMBER(SEARCH("NO CUMPLE",I7))),NOT(ISNUMBER(SEARCH("PARCIALMENTE",I7))))</formula>
    </cfRule>
  </conditionalFormatting>
  <conditionalFormatting sqref="I6:M6">
    <cfRule type="expression" dxfId="386" priority="385">
      <formula>AND(I6&lt;&gt;"",ISNUMBER(SEARCH("NO CUMPLE",I6)))</formula>
    </cfRule>
    <cfRule type="expression" dxfId="385" priority="386">
      <formula>AND(I6&lt;&gt;"",ISNUMBER(SEARCH("PARCIALMENTE",I6)))</formula>
    </cfRule>
    <cfRule type="expression" dxfId="384" priority="387">
      <formula>AND(I6&lt;&gt;"",ISNUMBER(SEARCH("CUMPLE",I6)),NOT(ISNUMBER(SEARCH("NO CUMPLE",I6))),NOT(ISNUMBER(SEARCH("PARCIALMENTE",I6))))</formula>
    </cfRule>
  </conditionalFormatting>
  <conditionalFormatting sqref="I16:M17">
    <cfRule type="expression" dxfId="383" priority="382">
      <formula>AND(I16&lt;&gt;"",ISNUMBER(SEARCH("NO CUMPLE",I16)))</formula>
    </cfRule>
    <cfRule type="expression" dxfId="382" priority="383">
      <formula>AND(I16&lt;&gt;"",ISNUMBER(SEARCH("PARCIALMENTE",I16)))</formula>
    </cfRule>
    <cfRule type="expression" dxfId="381" priority="384">
      <formula>AND(I16&lt;&gt;"",ISNUMBER(SEARCH("CUMPLE",I16)),NOT(ISNUMBER(SEARCH("NO CUMPLE",I16))),NOT(ISNUMBER(SEARCH("PARCIALMENTE",I16))))</formula>
    </cfRule>
  </conditionalFormatting>
  <conditionalFormatting sqref="I18:J19 L18:M19">
    <cfRule type="expression" dxfId="380" priority="379">
      <formula>AND(I18&lt;&gt;"",ISNUMBER(SEARCH("NO CUMPLE",I18)))</formula>
    </cfRule>
    <cfRule type="expression" dxfId="379" priority="380">
      <formula>AND(I18&lt;&gt;"",ISNUMBER(SEARCH("PARCIALMENTE",I18)))</formula>
    </cfRule>
    <cfRule type="expression" dxfId="378" priority="381">
      <formula>AND(I18&lt;&gt;"",ISNUMBER(SEARCH("CUMPLE",I18)),NOT(ISNUMBER(SEARCH("NO CUMPLE",I18))),NOT(ISNUMBER(SEARCH("PARCIALMENTE",I18))))</formula>
    </cfRule>
  </conditionalFormatting>
  <conditionalFormatting sqref="I20:J21 L20:M21">
    <cfRule type="expression" dxfId="377" priority="376">
      <formula>AND(I20&lt;&gt;"",ISNUMBER(SEARCH("NO CUMPLE",I20)))</formula>
    </cfRule>
    <cfRule type="expression" dxfId="376" priority="377">
      <formula>AND(I20&lt;&gt;"",ISNUMBER(SEARCH("PARCIALMENTE",I20)))</formula>
    </cfRule>
    <cfRule type="expression" dxfId="375" priority="378">
      <formula>AND(I20&lt;&gt;"",ISNUMBER(SEARCH("CUMPLE",I20)),NOT(ISNUMBER(SEARCH("NO CUMPLE",I20))),NOT(ISNUMBER(SEARCH("PARCIALMENTE",I20))))</formula>
    </cfRule>
  </conditionalFormatting>
  <conditionalFormatting sqref="K18">
    <cfRule type="expression" dxfId="374" priority="373">
      <formula>AND(K18&lt;&gt;"",ISNUMBER(SEARCH("NO CUMPLE",K18)))</formula>
    </cfRule>
    <cfRule type="expression" dxfId="373" priority="374">
      <formula>AND(K18&lt;&gt;"",ISNUMBER(SEARCH("PARCIALMENTE",K18)))</formula>
    </cfRule>
    <cfRule type="expression" dxfId="372" priority="375">
      <formula>AND(K18&lt;&gt;"",ISNUMBER(SEARCH("CUMPLE",K18)),NOT(ISNUMBER(SEARCH("NO CUMPLE",K18))),NOT(ISNUMBER(SEARCH("PARCIALMENTE",K18))))</formula>
    </cfRule>
  </conditionalFormatting>
  <conditionalFormatting sqref="K19">
    <cfRule type="expression" dxfId="371" priority="370">
      <formula>AND(K19&lt;&gt;"",ISNUMBER(SEARCH("NO CUMPLE",K19)))</formula>
    </cfRule>
    <cfRule type="expression" dxfId="370" priority="371">
      <formula>AND(K19&lt;&gt;"",ISNUMBER(SEARCH("PARCIALMENTE",K19)))</formula>
    </cfRule>
    <cfRule type="expression" dxfId="369" priority="372">
      <formula>AND(K19&lt;&gt;"",ISNUMBER(SEARCH("CUMPLE",K19)),NOT(ISNUMBER(SEARCH("NO CUMPLE",K19))),NOT(ISNUMBER(SEARCH("PARCIALMENTE",K19))))</formula>
    </cfRule>
  </conditionalFormatting>
  <conditionalFormatting sqref="K20">
    <cfRule type="expression" dxfId="368" priority="367">
      <formula>AND(K20&lt;&gt;"",ISNUMBER(SEARCH("NO CUMPLE",K20)))</formula>
    </cfRule>
    <cfRule type="expression" dxfId="367" priority="368">
      <formula>AND(K20&lt;&gt;"",ISNUMBER(SEARCH("PARCIALMENTE",K20)))</formula>
    </cfRule>
    <cfRule type="expression" dxfId="366" priority="369">
      <formula>AND(K20&lt;&gt;"",ISNUMBER(SEARCH("CUMPLE",K20)),NOT(ISNUMBER(SEARCH("NO CUMPLE",K20))),NOT(ISNUMBER(SEARCH("PARCIALMENTE",K20))))</formula>
    </cfRule>
  </conditionalFormatting>
  <conditionalFormatting sqref="K21">
    <cfRule type="expression" dxfId="365" priority="364">
      <formula>AND(K21&lt;&gt;"",ISNUMBER(SEARCH("NO CUMPLE",K21)))</formula>
    </cfRule>
    <cfRule type="expression" dxfId="364" priority="365">
      <formula>AND(K21&lt;&gt;"",ISNUMBER(SEARCH("PARCIALMENTE",K21)))</formula>
    </cfRule>
    <cfRule type="expression" dxfId="363" priority="366">
      <formula>AND(K21&lt;&gt;"",ISNUMBER(SEARCH("CUMPLE",K21)),NOT(ISNUMBER(SEARCH("NO CUMPLE",K21))),NOT(ISNUMBER(SEARCH("PARCIALMENTE",K21))))</formula>
    </cfRule>
  </conditionalFormatting>
  <conditionalFormatting sqref="I22:K22 M22">
    <cfRule type="expression" dxfId="362" priority="361">
      <formula>AND(I22&lt;&gt;"",ISNUMBER(SEARCH("NO CUMPLE",I22)))</formula>
    </cfRule>
    <cfRule type="expression" dxfId="361" priority="362">
      <formula>AND(I22&lt;&gt;"",ISNUMBER(SEARCH("PARCIALMENTE",I22)))</formula>
    </cfRule>
    <cfRule type="expression" dxfId="360" priority="363">
      <formula>AND(I22&lt;&gt;"",ISNUMBER(SEARCH("CUMPLE",I22)),NOT(ISNUMBER(SEARCH("NO CUMPLE",I22))),NOT(ISNUMBER(SEARCH("PARCIALMENTE",I22))))</formula>
    </cfRule>
  </conditionalFormatting>
  <conditionalFormatting sqref="I23:K23 M23">
    <cfRule type="expression" dxfId="359" priority="358">
      <formula>AND(I23&lt;&gt;"",ISNUMBER(SEARCH("NO CUMPLE",I23)))</formula>
    </cfRule>
    <cfRule type="expression" dxfId="358" priority="359">
      <formula>AND(I23&lt;&gt;"",ISNUMBER(SEARCH("PARCIALMENTE",I23)))</formula>
    </cfRule>
    <cfRule type="expression" dxfId="357" priority="360">
      <formula>AND(I23&lt;&gt;"",ISNUMBER(SEARCH("CUMPLE",I23)),NOT(ISNUMBER(SEARCH("NO CUMPLE",I23))),NOT(ISNUMBER(SEARCH("PARCIALMENTE",I23))))</formula>
    </cfRule>
  </conditionalFormatting>
  <conditionalFormatting sqref="I24:K24 M24">
    <cfRule type="expression" dxfId="356" priority="355">
      <formula>AND(I24&lt;&gt;"",ISNUMBER(SEARCH("NO CUMPLE",I24)))</formula>
    </cfRule>
    <cfRule type="expression" dxfId="355" priority="356">
      <formula>AND(I24&lt;&gt;"",ISNUMBER(SEARCH("PARCIALMENTE",I24)))</formula>
    </cfRule>
    <cfRule type="expression" dxfId="354" priority="357">
      <formula>AND(I24&lt;&gt;"",ISNUMBER(SEARCH("CUMPLE",I24)),NOT(ISNUMBER(SEARCH("NO CUMPLE",I24))),NOT(ISNUMBER(SEARCH("PARCIALMENTE",I24))))</formula>
    </cfRule>
  </conditionalFormatting>
  <conditionalFormatting sqref="L22">
    <cfRule type="expression" dxfId="353" priority="352">
      <formula>AND(L22&lt;&gt;"",ISNUMBER(SEARCH("NO CUMPLE",L22)))</formula>
    </cfRule>
    <cfRule type="expression" dxfId="352" priority="353">
      <formula>AND(L22&lt;&gt;"",ISNUMBER(SEARCH("PARCIALMENTE",L22)))</formula>
    </cfRule>
    <cfRule type="expression" dxfId="351" priority="354">
      <formula>AND(L22&lt;&gt;"",ISNUMBER(SEARCH("CUMPLE",L22)),NOT(ISNUMBER(SEARCH("NO CUMPLE",L22))),NOT(ISNUMBER(SEARCH("PARCIALMENTE",L22))))</formula>
    </cfRule>
  </conditionalFormatting>
  <conditionalFormatting sqref="L23">
    <cfRule type="expression" dxfId="350" priority="349">
      <formula>AND(L23&lt;&gt;"",ISNUMBER(SEARCH("NO CUMPLE",L23)))</formula>
    </cfRule>
    <cfRule type="expression" dxfId="349" priority="350">
      <formula>AND(L23&lt;&gt;"",ISNUMBER(SEARCH("PARCIALMENTE",L23)))</formula>
    </cfRule>
    <cfRule type="expression" dxfId="348" priority="351">
      <formula>AND(L23&lt;&gt;"",ISNUMBER(SEARCH("CUMPLE",L23)),NOT(ISNUMBER(SEARCH("NO CUMPLE",L23))),NOT(ISNUMBER(SEARCH("PARCIALMENTE",L23))))</formula>
    </cfRule>
  </conditionalFormatting>
  <conditionalFormatting sqref="L24">
    <cfRule type="expression" dxfId="347" priority="346">
      <formula>AND(L24&lt;&gt;"",ISNUMBER(SEARCH("NO CUMPLE",L24)))</formula>
    </cfRule>
    <cfRule type="expression" dxfId="346" priority="347">
      <formula>AND(L24&lt;&gt;"",ISNUMBER(SEARCH("PARCIALMENTE",L24)))</formula>
    </cfRule>
    <cfRule type="expression" dxfId="345" priority="348">
      <formula>AND(L24&lt;&gt;"",ISNUMBER(SEARCH("CUMPLE",L24)),NOT(ISNUMBER(SEARCH("NO CUMPLE",L24))),NOT(ISNUMBER(SEARCH("PARCIALMENTE",L24))))</formula>
    </cfRule>
  </conditionalFormatting>
  <conditionalFormatting sqref="I25:M25">
    <cfRule type="expression" dxfId="344" priority="343">
      <formula>AND(I25&lt;&gt;"",ISNUMBER(SEARCH("NO CUMPLE",I25)))</formula>
    </cfRule>
    <cfRule type="expression" dxfId="343" priority="344">
      <formula>AND(I25&lt;&gt;"",ISNUMBER(SEARCH("PARCIALMENTE",I25)))</formula>
    </cfRule>
    <cfRule type="expression" dxfId="342" priority="345">
      <formula>AND(I25&lt;&gt;"",ISNUMBER(SEARCH("CUMPLE",I25)),NOT(ISNUMBER(SEARCH("NO CUMPLE",I25))),NOT(ISNUMBER(SEARCH("PARCIALMENTE",I25))))</formula>
    </cfRule>
  </conditionalFormatting>
  <conditionalFormatting sqref="I26:M26">
    <cfRule type="expression" dxfId="341" priority="340">
      <formula>AND(I26&lt;&gt;"",ISNUMBER(SEARCH("NO CUMPLE",I26)))</formula>
    </cfRule>
    <cfRule type="expression" dxfId="340" priority="341">
      <formula>AND(I26&lt;&gt;"",ISNUMBER(SEARCH("PARCIALMENTE",I26)))</formula>
    </cfRule>
    <cfRule type="expression" dxfId="339" priority="342">
      <formula>AND(I26&lt;&gt;"",ISNUMBER(SEARCH("CUMPLE",I26)),NOT(ISNUMBER(SEARCH("NO CUMPLE",I26))),NOT(ISNUMBER(SEARCH("PARCIALMENTE",I26))))</formula>
    </cfRule>
  </conditionalFormatting>
  <conditionalFormatting sqref="I27:M27">
    <cfRule type="expression" dxfId="338" priority="337">
      <formula>AND(I27&lt;&gt;"",ISNUMBER(SEARCH("NO CUMPLE",I27)))</formula>
    </cfRule>
    <cfRule type="expression" dxfId="337" priority="338">
      <formula>AND(I27&lt;&gt;"",ISNUMBER(SEARCH("PARCIALMENTE",I27)))</formula>
    </cfRule>
    <cfRule type="expression" dxfId="336" priority="339">
      <formula>AND(I27&lt;&gt;"",ISNUMBER(SEARCH("CUMPLE",I27)),NOT(ISNUMBER(SEARCH("NO CUMPLE",I27))),NOT(ISNUMBER(SEARCH("PARCIALMENTE",I27))))</formula>
    </cfRule>
  </conditionalFormatting>
  <conditionalFormatting sqref="I28:M28">
    <cfRule type="expression" dxfId="335" priority="334">
      <formula>AND(I28&lt;&gt;"",ISNUMBER(SEARCH("NO CUMPLE",I28)))</formula>
    </cfRule>
    <cfRule type="expression" dxfId="334" priority="335">
      <formula>AND(I28&lt;&gt;"",ISNUMBER(SEARCH("PARCIALMENTE",I28)))</formula>
    </cfRule>
    <cfRule type="expression" dxfId="333" priority="336">
      <formula>AND(I28&lt;&gt;"",ISNUMBER(SEARCH("CUMPLE",I28)),NOT(ISNUMBER(SEARCH("NO CUMPLE",I28))),NOT(ISNUMBER(SEARCH("PARCIALMENTE",I28))))</formula>
    </cfRule>
  </conditionalFormatting>
  <conditionalFormatting sqref="I29:M29">
    <cfRule type="expression" dxfId="332" priority="331">
      <formula>AND(I29&lt;&gt;"",ISNUMBER(SEARCH("NO CUMPLE",I29)))</formula>
    </cfRule>
    <cfRule type="expression" dxfId="331" priority="332">
      <formula>AND(I29&lt;&gt;"",ISNUMBER(SEARCH("PARCIALMENTE",I29)))</formula>
    </cfRule>
    <cfRule type="expression" dxfId="330" priority="333">
      <formula>AND(I29&lt;&gt;"",ISNUMBER(SEARCH("CUMPLE",I29)),NOT(ISNUMBER(SEARCH("NO CUMPLE",I29))),NOT(ISNUMBER(SEARCH("PARCIALMENTE",I29))))</formula>
    </cfRule>
  </conditionalFormatting>
  <conditionalFormatting sqref="I30:M30">
    <cfRule type="expression" dxfId="329" priority="328">
      <formula>AND(I30&lt;&gt;"",ISNUMBER(SEARCH("NO CUMPLE",I30)))</formula>
    </cfRule>
    <cfRule type="expression" dxfId="328" priority="329">
      <formula>AND(I30&lt;&gt;"",ISNUMBER(SEARCH("PARCIALMENTE",I30)))</formula>
    </cfRule>
    <cfRule type="expression" dxfId="327" priority="330">
      <formula>AND(I30&lt;&gt;"",ISNUMBER(SEARCH("CUMPLE",I30)),NOT(ISNUMBER(SEARCH("NO CUMPLE",I30))),NOT(ISNUMBER(SEARCH("PARCIALMENTE",I30))))</formula>
    </cfRule>
  </conditionalFormatting>
  <conditionalFormatting sqref="I31:M31">
    <cfRule type="expression" dxfId="326" priority="325">
      <formula>AND(I31&lt;&gt;"",ISNUMBER(SEARCH("NO CUMPLE",I31)))</formula>
    </cfRule>
    <cfRule type="expression" dxfId="325" priority="326">
      <formula>AND(I31&lt;&gt;"",ISNUMBER(SEARCH("PARCIALMENTE",I31)))</formula>
    </cfRule>
    <cfRule type="expression" dxfId="324" priority="327">
      <formula>AND(I31&lt;&gt;"",ISNUMBER(SEARCH("CUMPLE",I31)),NOT(ISNUMBER(SEARCH("NO CUMPLE",I31))),NOT(ISNUMBER(SEARCH("PARCIALMENTE",I31))))</formula>
    </cfRule>
  </conditionalFormatting>
  <conditionalFormatting sqref="I32:M32">
    <cfRule type="expression" dxfId="323" priority="322">
      <formula>AND(I32&lt;&gt;"",ISNUMBER(SEARCH("NO CUMPLE",I32)))</formula>
    </cfRule>
    <cfRule type="expression" dxfId="322" priority="323">
      <formula>AND(I32&lt;&gt;"",ISNUMBER(SEARCH("PARCIALMENTE",I32)))</formula>
    </cfRule>
    <cfRule type="expression" dxfId="321" priority="324">
      <formula>AND(I32&lt;&gt;"",ISNUMBER(SEARCH("CUMPLE",I32)),NOT(ISNUMBER(SEARCH("NO CUMPLE",I32))),NOT(ISNUMBER(SEARCH("PARCIALMENTE",I32))))</formula>
    </cfRule>
  </conditionalFormatting>
  <conditionalFormatting sqref="I33:M33">
    <cfRule type="expression" dxfId="320" priority="319">
      <formula>AND(I33&lt;&gt;"",ISNUMBER(SEARCH("NO CUMPLE",I33)))</formula>
    </cfRule>
    <cfRule type="expression" dxfId="319" priority="320">
      <formula>AND(I33&lt;&gt;"",ISNUMBER(SEARCH("PARCIALMENTE",I33)))</formula>
    </cfRule>
    <cfRule type="expression" dxfId="318" priority="321">
      <formula>AND(I33&lt;&gt;"",ISNUMBER(SEARCH("CUMPLE",I33)),NOT(ISNUMBER(SEARCH("NO CUMPLE",I33))),NOT(ISNUMBER(SEARCH("PARCIALMENTE",I33))))</formula>
    </cfRule>
  </conditionalFormatting>
  <conditionalFormatting sqref="I34:M34">
    <cfRule type="expression" dxfId="317" priority="316">
      <formula>AND(I34&lt;&gt;"",ISNUMBER(SEARCH("NO CUMPLE",I34)))</formula>
    </cfRule>
    <cfRule type="expression" dxfId="316" priority="317">
      <formula>AND(I34&lt;&gt;"",ISNUMBER(SEARCH("PARCIALMENTE",I34)))</formula>
    </cfRule>
    <cfRule type="expression" dxfId="315" priority="318">
      <formula>AND(I34&lt;&gt;"",ISNUMBER(SEARCH("CUMPLE",I34)),NOT(ISNUMBER(SEARCH("NO CUMPLE",I34))),NOT(ISNUMBER(SEARCH("PARCIALMENTE",I34))))</formula>
    </cfRule>
  </conditionalFormatting>
  <conditionalFormatting sqref="I35:M35">
    <cfRule type="expression" dxfId="314" priority="313">
      <formula>AND(I35&lt;&gt;"",ISNUMBER(SEARCH("NO CUMPLE",I35)))</formula>
    </cfRule>
    <cfRule type="expression" dxfId="313" priority="314">
      <formula>AND(I35&lt;&gt;"",ISNUMBER(SEARCH("PARCIALMENTE",I35)))</formula>
    </cfRule>
    <cfRule type="expression" dxfId="312" priority="315">
      <formula>AND(I35&lt;&gt;"",ISNUMBER(SEARCH("CUMPLE",I35)),NOT(ISNUMBER(SEARCH("NO CUMPLE",I35))),NOT(ISNUMBER(SEARCH("PARCIALMENTE",I35))))</formula>
    </cfRule>
  </conditionalFormatting>
  <conditionalFormatting sqref="I36:M36">
    <cfRule type="expression" dxfId="311" priority="310">
      <formula>AND(I36&lt;&gt;"",ISNUMBER(SEARCH("NO CUMPLE",I36)))</formula>
    </cfRule>
    <cfRule type="expression" dxfId="310" priority="311">
      <formula>AND(I36&lt;&gt;"",ISNUMBER(SEARCH("PARCIALMENTE",I36)))</formula>
    </cfRule>
    <cfRule type="expression" dxfId="309" priority="312">
      <formula>AND(I36&lt;&gt;"",ISNUMBER(SEARCH("CUMPLE",I36)),NOT(ISNUMBER(SEARCH("NO CUMPLE",I36))),NOT(ISNUMBER(SEARCH("PARCIALMENTE",I36))))</formula>
    </cfRule>
  </conditionalFormatting>
  <conditionalFormatting sqref="I37:M37">
    <cfRule type="expression" dxfId="308" priority="307">
      <formula>AND(I37&lt;&gt;"",ISNUMBER(SEARCH("NO CUMPLE",I37)))</formula>
    </cfRule>
    <cfRule type="expression" dxfId="307" priority="308">
      <formula>AND(I37&lt;&gt;"",ISNUMBER(SEARCH("PARCIALMENTE",I37)))</formula>
    </cfRule>
    <cfRule type="expression" dxfId="306" priority="309">
      <formula>AND(I37&lt;&gt;"",ISNUMBER(SEARCH("CUMPLE",I37)),NOT(ISNUMBER(SEARCH("NO CUMPLE",I37))),NOT(ISNUMBER(SEARCH("PARCIALMENTE",I37))))</formula>
    </cfRule>
  </conditionalFormatting>
  <conditionalFormatting sqref="I38:M38">
    <cfRule type="expression" dxfId="305" priority="304">
      <formula>AND(I38&lt;&gt;"",ISNUMBER(SEARCH("NO CUMPLE",I38)))</formula>
    </cfRule>
    <cfRule type="expression" dxfId="304" priority="305">
      <formula>AND(I38&lt;&gt;"",ISNUMBER(SEARCH("PARCIALMENTE",I38)))</formula>
    </cfRule>
    <cfRule type="expression" dxfId="303" priority="306">
      <formula>AND(I38&lt;&gt;"",ISNUMBER(SEARCH("CUMPLE",I38)),NOT(ISNUMBER(SEARCH("NO CUMPLE",I38))),NOT(ISNUMBER(SEARCH("PARCIALMENTE",I38))))</formula>
    </cfRule>
  </conditionalFormatting>
  <conditionalFormatting sqref="I39:M39">
    <cfRule type="expression" dxfId="302" priority="301">
      <formula>AND(I39&lt;&gt;"",ISNUMBER(SEARCH("NO CUMPLE",I39)))</formula>
    </cfRule>
    <cfRule type="expression" dxfId="301" priority="302">
      <formula>AND(I39&lt;&gt;"",ISNUMBER(SEARCH("PARCIALMENTE",I39)))</formula>
    </cfRule>
    <cfRule type="expression" dxfId="300" priority="303">
      <formula>AND(I39&lt;&gt;"",ISNUMBER(SEARCH("CUMPLE",I39)),NOT(ISNUMBER(SEARCH("NO CUMPLE",I39))),NOT(ISNUMBER(SEARCH("PARCIALMENTE",I39))))</formula>
    </cfRule>
  </conditionalFormatting>
  <conditionalFormatting sqref="I40:M41">
    <cfRule type="expression" dxfId="299" priority="298">
      <formula>AND(I40&lt;&gt;"",ISNUMBER(SEARCH("NO CUMPLE",I40)))</formula>
    </cfRule>
    <cfRule type="expression" dxfId="298" priority="299">
      <formula>AND(I40&lt;&gt;"",ISNUMBER(SEARCH("PARCIALMENTE",I40)))</formula>
    </cfRule>
    <cfRule type="expression" dxfId="297" priority="300">
      <formula>AND(I40&lt;&gt;"",ISNUMBER(SEARCH("CUMPLE",I40)),NOT(ISNUMBER(SEARCH("NO CUMPLE",I40))),NOT(ISNUMBER(SEARCH("PARCIALMENTE",I40))))</formula>
    </cfRule>
  </conditionalFormatting>
  <conditionalFormatting sqref="I42:M42">
    <cfRule type="expression" dxfId="296" priority="295">
      <formula>AND(I42&lt;&gt;"",ISNUMBER(SEARCH("NO CUMPLE",I42)))</formula>
    </cfRule>
    <cfRule type="expression" dxfId="295" priority="296">
      <formula>AND(I42&lt;&gt;"",ISNUMBER(SEARCH("PARCIALMENTE",I42)))</formula>
    </cfRule>
    <cfRule type="expression" dxfId="294" priority="297">
      <formula>AND(I42&lt;&gt;"",ISNUMBER(SEARCH("CUMPLE",I42)),NOT(ISNUMBER(SEARCH("NO CUMPLE",I42))),NOT(ISNUMBER(SEARCH("PARCIALMENTE",I42))))</formula>
    </cfRule>
  </conditionalFormatting>
  <conditionalFormatting sqref="I43:M43">
    <cfRule type="expression" dxfId="293" priority="292">
      <formula>AND(I43&lt;&gt;"",ISNUMBER(SEARCH("NO CUMPLE",I43)))</formula>
    </cfRule>
    <cfRule type="expression" dxfId="292" priority="293">
      <formula>AND(I43&lt;&gt;"",ISNUMBER(SEARCH("PARCIALMENTE",I43)))</formula>
    </cfRule>
    <cfRule type="expression" dxfId="291" priority="294">
      <formula>AND(I43&lt;&gt;"",ISNUMBER(SEARCH("CUMPLE",I43)),NOT(ISNUMBER(SEARCH("NO CUMPLE",I43))),NOT(ISNUMBER(SEARCH("PARCIALMENTE",I43))))</formula>
    </cfRule>
  </conditionalFormatting>
  <conditionalFormatting sqref="I44:M44">
    <cfRule type="expression" dxfId="290" priority="289">
      <formula>AND(I44&lt;&gt;"",ISNUMBER(SEARCH("NO CUMPLE",I44)))</formula>
    </cfRule>
    <cfRule type="expression" dxfId="289" priority="290">
      <formula>AND(I44&lt;&gt;"",ISNUMBER(SEARCH("PARCIALMENTE",I44)))</formula>
    </cfRule>
    <cfRule type="expression" dxfId="288" priority="291">
      <formula>AND(I44&lt;&gt;"",ISNUMBER(SEARCH("CUMPLE",I44)),NOT(ISNUMBER(SEARCH("NO CUMPLE",I44))),NOT(ISNUMBER(SEARCH("PARCIALMENTE",I44))))</formula>
    </cfRule>
  </conditionalFormatting>
  <conditionalFormatting sqref="I45:M45">
    <cfRule type="expression" dxfId="287" priority="286">
      <formula>AND(I45&lt;&gt;"",ISNUMBER(SEARCH("NO CUMPLE",I45)))</formula>
    </cfRule>
    <cfRule type="expression" dxfId="286" priority="287">
      <formula>AND(I45&lt;&gt;"",ISNUMBER(SEARCH("PARCIALMENTE",I45)))</formula>
    </cfRule>
    <cfRule type="expression" dxfId="285" priority="288">
      <formula>AND(I45&lt;&gt;"",ISNUMBER(SEARCH("CUMPLE",I45)),NOT(ISNUMBER(SEARCH("NO CUMPLE",I45))),NOT(ISNUMBER(SEARCH("PARCIALMENTE",I45))))</formula>
    </cfRule>
  </conditionalFormatting>
  <conditionalFormatting sqref="I46:M46">
    <cfRule type="expression" dxfId="284" priority="283">
      <formula>AND(I46&lt;&gt;"",ISNUMBER(SEARCH("NO CUMPLE",I46)))</formula>
    </cfRule>
    <cfRule type="expression" dxfId="283" priority="284">
      <formula>AND(I46&lt;&gt;"",ISNUMBER(SEARCH("PARCIALMENTE",I46)))</formula>
    </cfRule>
    <cfRule type="expression" dxfId="282" priority="285">
      <formula>AND(I46&lt;&gt;"",ISNUMBER(SEARCH("CUMPLE",I46)),NOT(ISNUMBER(SEARCH("NO CUMPLE",I46))),NOT(ISNUMBER(SEARCH("PARCIALMENTE",I46))))</formula>
    </cfRule>
  </conditionalFormatting>
  <conditionalFormatting sqref="I47:M48">
    <cfRule type="expression" dxfId="281" priority="280">
      <formula>AND(I47&lt;&gt;"",ISNUMBER(SEARCH("NO CUMPLE",I47)))</formula>
    </cfRule>
    <cfRule type="expression" dxfId="280" priority="281">
      <formula>AND(I47&lt;&gt;"",ISNUMBER(SEARCH("PARCIALMENTE",I47)))</formula>
    </cfRule>
    <cfRule type="expression" dxfId="279" priority="282">
      <formula>AND(I47&lt;&gt;"",ISNUMBER(SEARCH("CUMPLE",I47)),NOT(ISNUMBER(SEARCH("NO CUMPLE",I47))),NOT(ISNUMBER(SEARCH("PARCIALMENTE",I47))))</formula>
    </cfRule>
  </conditionalFormatting>
  <conditionalFormatting sqref="I49:M49">
    <cfRule type="expression" dxfId="278" priority="277">
      <formula>AND(I49&lt;&gt;"",ISNUMBER(SEARCH("NO CUMPLE",I49)))</formula>
    </cfRule>
    <cfRule type="expression" dxfId="277" priority="278">
      <formula>AND(I49&lt;&gt;"",ISNUMBER(SEARCH("PARCIALMENTE",I49)))</formula>
    </cfRule>
    <cfRule type="expression" dxfId="276" priority="279">
      <formula>AND(I49&lt;&gt;"",ISNUMBER(SEARCH("CUMPLE",I49)),NOT(ISNUMBER(SEARCH("NO CUMPLE",I49))),NOT(ISNUMBER(SEARCH("PARCIALMENTE",I49))))</formula>
    </cfRule>
  </conditionalFormatting>
  <conditionalFormatting sqref="I50:M50">
    <cfRule type="expression" dxfId="275" priority="274">
      <formula>AND(I50&lt;&gt;"",ISNUMBER(SEARCH("NO CUMPLE",I50)))</formula>
    </cfRule>
    <cfRule type="expression" dxfId="274" priority="275">
      <formula>AND(I50&lt;&gt;"",ISNUMBER(SEARCH("PARCIALMENTE",I50)))</formula>
    </cfRule>
    <cfRule type="expression" dxfId="273" priority="276">
      <formula>AND(I50&lt;&gt;"",ISNUMBER(SEARCH("CUMPLE",I50)),NOT(ISNUMBER(SEARCH("NO CUMPLE",I50))),NOT(ISNUMBER(SEARCH("PARCIALMENTE",I50))))</formula>
    </cfRule>
  </conditionalFormatting>
  <conditionalFormatting sqref="I51:M51">
    <cfRule type="expression" dxfId="272" priority="271">
      <formula>AND(I51&lt;&gt;"",ISNUMBER(SEARCH("NO CUMPLE",I51)))</formula>
    </cfRule>
    <cfRule type="expression" dxfId="271" priority="272">
      <formula>AND(I51&lt;&gt;"",ISNUMBER(SEARCH("PARCIALMENTE",I51)))</formula>
    </cfRule>
    <cfRule type="expression" dxfId="270" priority="273">
      <formula>AND(I51&lt;&gt;"",ISNUMBER(SEARCH("CUMPLE",I51)),NOT(ISNUMBER(SEARCH("NO CUMPLE",I51))),NOT(ISNUMBER(SEARCH("PARCIALMENTE",I51))))</formula>
    </cfRule>
  </conditionalFormatting>
  <conditionalFormatting sqref="I52:M52">
    <cfRule type="expression" dxfId="269" priority="268">
      <formula>AND(I52&lt;&gt;"",ISNUMBER(SEARCH("NO CUMPLE",I52)))</formula>
    </cfRule>
    <cfRule type="expression" dxfId="268" priority="269">
      <formula>AND(I52&lt;&gt;"",ISNUMBER(SEARCH("PARCIALMENTE",I52)))</formula>
    </cfRule>
    <cfRule type="expression" dxfId="267" priority="270">
      <formula>AND(I52&lt;&gt;"",ISNUMBER(SEARCH("CUMPLE",I52)),NOT(ISNUMBER(SEARCH("NO CUMPLE",I52))),NOT(ISNUMBER(SEARCH("PARCIALMENTE",I52))))</formula>
    </cfRule>
  </conditionalFormatting>
  <conditionalFormatting sqref="I53:M53">
    <cfRule type="expression" dxfId="266" priority="265">
      <formula>AND(I53&lt;&gt;"",ISNUMBER(SEARCH("NO CUMPLE",I53)))</formula>
    </cfRule>
    <cfRule type="expression" dxfId="265" priority="266">
      <formula>AND(I53&lt;&gt;"",ISNUMBER(SEARCH("PARCIALMENTE",I53)))</formula>
    </cfRule>
    <cfRule type="expression" dxfId="264" priority="267">
      <formula>AND(I53&lt;&gt;"",ISNUMBER(SEARCH("CUMPLE",I53)),NOT(ISNUMBER(SEARCH("NO CUMPLE",I53))),NOT(ISNUMBER(SEARCH("PARCIALMENTE",I53))))</formula>
    </cfRule>
  </conditionalFormatting>
  <conditionalFormatting sqref="I54:M54">
    <cfRule type="expression" dxfId="263" priority="262">
      <formula>AND(I54&lt;&gt;"",ISNUMBER(SEARCH("NO CUMPLE",I54)))</formula>
    </cfRule>
    <cfRule type="expression" dxfId="262" priority="263">
      <formula>AND(I54&lt;&gt;"",ISNUMBER(SEARCH("PARCIALMENTE",I54)))</formula>
    </cfRule>
    <cfRule type="expression" dxfId="261" priority="264">
      <formula>AND(I54&lt;&gt;"",ISNUMBER(SEARCH("CUMPLE",I54)),NOT(ISNUMBER(SEARCH("NO CUMPLE",I54))),NOT(ISNUMBER(SEARCH("PARCIALMENTE",I54))))</formula>
    </cfRule>
  </conditionalFormatting>
  <conditionalFormatting sqref="I55:M55">
    <cfRule type="expression" dxfId="260" priority="259">
      <formula>AND(I55&lt;&gt;"",ISNUMBER(SEARCH("NO CUMPLE",I55)))</formula>
    </cfRule>
    <cfRule type="expression" dxfId="259" priority="260">
      <formula>AND(I55&lt;&gt;"",ISNUMBER(SEARCH("PARCIALMENTE",I55)))</formula>
    </cfRule>
    <cfRule type="expression" dxfId="258" priority="261">
      <formula>AND(I55&lt;&gt;"",ISNUMBER(SEARCH("CUMPLE",I55)),NOT(ISNUMBER(SEARCH("NO CUMPLE",I55))),NOT(ISNUMBER(SEARCH("PARCIALMENTE",I55))))</formula>
    </cfRule>
  </conditionalFormatting>
  <conditionalFormatting sqref="I56:M56">
    <cfRule type="expression" dxfId="257" priority="256">
      <formula>AND(I56&lt;&gt;"",ISNUMBER(SEARCH("NO CUMPLE",I56)))</formula>
    </cfRule>
    <cfRule type="expression" dxfId="256" priority="257">
      <formula>AND(I56&lt;&gt;"",ISNUMBER(SEARCH("PARCIALMENTE",I56)))</formula>
    </cfRule>
    <cfRule type="expression" dxfId="255" priority="258">
      <formula>AND(I56&lt;&gt;"",ISNUMBER(SEARCH("CUMPLE",I56)),NOT(ISNUMBER(SEARCH("NO CUMPLE",I56))),NOT(ISNUMBER(SEARCH("PARCIALMENTE",I56))))</formula>
    </cfRule>
  </conditionalFormatting>
  <conditionalFormatting sqref="I57:M57">
    <cfRule type="expression" dxfId="254" priority="253">
      <formula>AND(I57&lt;&gt;"",ISNUMBER(SEARCH("NO CUMPLE",I57)))</formula>
    </cfRule>
    <cfRule type="expression" dxfId="253" priority="254">
      <formula>AND(I57&lt;&gt;"",ISNUMBER(SEARCH("PARCIALMENTE",I57)))</formula>
    </cfRule>
    <cfRule type="expression" dxfId="252" priority="255">
      <formula>AND(I57&lt;&gt;"",ISNUMBER(SEARCH("CUMPLE",I57)),NOT(ISNUMBER(SEARCH("NO CUMPLE",I57))),NOT(ISNUMBER(SEARCH("PARCIALMENTE",I57))))</formula>
    </cfRule>
  </conditionalFormatting>
  <conditionalFormatting sqref="I58:M58">
    <cfRule type="expression" dxfId="251" priority="250">
      <formula>AND(I58&lt;&gt;"",ISNUMBER(SEARCH("NO CUMPLE",I58)))</formula>
    </cfRule>
    <cfRule type="expression" dxfId="250" priority="251">
      <formula>AND(I58&lt;&gt;"",ISNUMBER(SEARCH("PARCIALMENTE",I58)))</formula>
    </cfRule>
    <cfRule type="expression" dxfId="249" priority="252">
      <formula>AND(I58&lt;&gt;"",ISNUMBER(SEARCH("CUMPLE",I58)),NOT(ISNUMBER(SEARCH("NO CUMPLE",I58))),NOT(ISNUMBER(SEARCH("PARCIALMENTE",I58))))</formula>
    </cfRule>
  </conditionalFormatting>
  <conditionalFormatting sqref="I59:M59">
    <cfRule type="expression" dxfId="248" priority="247">
      <formula>AND(I59&lt;&gt;"",ISNUMBER(SEARCH("NO CUMPLE",I59)))</formula>
    </cfRule>
    <cfRule type="expression" dxfId="247" priority="248">
      <formula>AND(I59&lt;&gt;"",ISNUMBER(SEARCH("PARCIALMENTE",I59)))</formula>
    </cfRule>
    <cfRule type="expression" dxfId="246" priority="249">
      <formula>AND(I59&lt;&gt;"",ISNUMBER(SEARCH("CUMPLE",I59)),NOT(ISNUMBER(SEARCH("NO CUMPLE",I59))),NOT(ISNUMBER(SEARCH("PARCIALMENTE",I59))))</formula>
    </cfRule>
  </conditionalFormatting>
  <conditionalFormatting sqref="J60:M60">
    <cfRule type="expression" dxfId="245" priority="244">
      <formula>AND(J60&lt;&gt;"",ISNUMBER(SEARCH("NO CUMPLE",J60)))</formula>
    </cfRule>
    <cfRule type="expression" dxfId="244" priority="245">
      <formula>AND(J60&lt;&gt;"",ISNUMBER(SEARCH("PARCIALMENTE",J60)))</formula>
    </cfRule>
    <cfRule type="expression" dxfId="243" priority="246">
      <formula>AND(J60&lt;&gt;"",ISNUMBER(SEARCH("CUMPLE",J60)),NOT(ISNUMBER(SEARCH("NO CUMPLE",J60))),NOT(ISNUMBER(SEARCH("PARCIALMENTE",J60))))</formula>
    </cfRule>
  </conditionalFormatting>
  <conditionalFormatting sqref="I61:M61">
    <cfRule type="expression" dxfId="242" priority="241">
      <formula>AND(I61&lt;&gt;"",ISNUMBER(SEARCH("NO CUMPLE",I61)))</formula>
    </cfRule>
    <cfRule type="expression" dxfId="241" priority="242">
      <formula>AND(I61&lt;&gt;"",ISNUMBER(SEARCH("PARCIALMENTE",I61)))</formula>
    </cfRule>
    <cfRule type="expression" dxfId="240" priority="243">
      <formula>AND(I61&lt;&gt;"",ISNUMBER(SEARCH("CUMPLE",I61)),NOT(ISNUMBER(SEARCH("NO CUMPLE",I61))),NOT(ISNUMBER(SEARCH("PARCIALMENTE",I61))))</formula>
    </cfRule>
  </conditionalFormatting>
  <conditionalFormatting sqref="I62:M62">
    <cfRule type="expression" dxfId="239" priority="238">
      <formula>AND(I62&lt;&gt;"",ISNUMBER(SEARCH("NO CUMPLE",I62)))</formula>
    </cfRule>
    <cfRule type="expression" dxfId="238" priority="239">
      <formula>AND(I62&lt;&gt;"",ISNUMBER(SEARCH("PARCIALMENTE",I62)))</formula>
    </cfRule>
    <cfRule type="expression" dxfId="237" priority="240">
      <formula>AND(I62&lt;&gt;"",ISNUMBER(SEARCH("CUMPLE",I62)),NOT(ISNUMBER(SEARCH("NO CUMPLE",I62))),NOT(ISNUMBER(SEARCH("PARCIALMENTE",I62))))</formula>
    </cfRule>
  </conditionalFormatting>
  <conditionalFormatting sqref="I60">
    <cfRule type="expression" dxfId="236" priority="235">
      <formula>AND(I60&lt;&gt;"",ISNUMBER(SEARCH("NO CUMPLE",I60)))</formula>
    </cfRule>
    <cfRule type="expression" dxfId="235" priority="236">
      <formula>AND(I60&lt;&gt;"",ISNUMBER(SEARCH("PARCIALMENTE",I60)))</formula>
    </cfRule>
    <cfRule type="expression" dxfId="234" priority="237">
      <formula>AND(I60&lt;&gt;"",ISNUMBER(SEARCH("CUMPLE",I60)),NOT(ISNUMBER(SEARCH("NO CUMPLE",I60))),NOT(ISNUMBER(SEARCH("PARCIALMENTE",I60))))</formula>
    </cfRule>
  </conditionalFormatting>
  <conditionalFormatting sqref="I63:M63">
    <cfRule type="expression" dxfId="233" priority="232">
      <formula>AND(I63&lt;&gt;"",ISNUMBER(SEARCH("NO CUMPLE",I63)))</formula>
    </cfRule>
    <cfRule type="expression" dxfId="232" priority="233">
      <formula>AND(I63&lt;&gt;"",ISNUMBER(SEARCH("PARCIALMENTE",I63)))</formula>
    </cfRule>
    <cfRule type="expression" dxfId="231" priority="234">
      <formula>AND(I63&lt;&gt;"",ISNUMBER(SEARCH("CUMPLE",I63)),NOT(ISNUMBER(SEARCH("NO CUMPLE",I63))),NOT(ISNUMBER(SEARCH("PARCIALMENTE",I63))))</formula>
    </cfRule>
  </conditionalFormatting>
  <conditionalFormatting sqref="I64:M64">
    <cfRule type="expression" dxfId="230" priority="229">
      <formula>AND(I64&lt;&gt;"",ISNUMBER(SEARCH("NO CUMPLE",I64)))</formula>
    </cfRule>
    <cfRule type="expression" dxfId="229" priority="230">
      <formula>AND(I64&lt;&gt;"",ISNUMBER(SEARCH("PARCIALMENTE",I64)))</formula>
    </cfRule>
    <cfRule type="expression" dxfId="228" priority="231">
      <formula>AND(I64&lt;&gt;"",ISNUMBER(SEARCH("CUMPLE",I64)),NOT(ISNUMBER(SEARCH("NO CUMPLE",I64))),NOT(ISNUMBER(SEARCH("PARCIALMENTE",I64))))</formula>
    </cfRule>
  </conditionalFormatting>
  <conditionalFormatting sqref="I65:M65">
    <cfRule type="expression" dxfId="227" priority="226">
      <formula>AND(I65&lt;&gt;"",ISNUMBER(SEARCH("NO CUMPLE",I65)))</formula>
    </cfRule>
    <cfRule type="expression" dxfId="226" priority="227">
      <formula>AND(I65&lt;&gt;"",ISNUMBER(SEARCH("PARCIALMENTE",I65)))</formula>
    </cfRule>
    <cfRule type="expression" dxfId="225" priority="228">
      <formula>AND(I65&lt;&gt;"",ISNUMBER(SEARCH("CUMPLE",I65)),NOT(ISNUMBER(SEARCH("NO CUMPLE",I65))),NOT(ISNUMBER(SEARCH("PARCIALMENTE",I65))))</formula>
    </cfRule>
  </conditionalFormatting>
  <conditionalFormatting sqref="I66:M66">
    <cfRule type="expression" dxfId="224" priority="223">
      <formula>AND(I66&lt;&gt;"",ISNUMBER(SEARCH("NO CUMPLE",I66)))</formula>
    </cfRule>
    <cfRule type="expression" dxfId="223" priority="224">
      <formula>AND(I66&lt;&gt;"",ISNUMBER(SEARCH("PARCIALMENTE",I66)))</formula>
    </cfRule>
    <cfRule type="expression" dxfId="222" priority="225">
      <formula>AND(I66&lt;&gt;"",ISNUMBER(SEARCH("CUMPLE",I66)),NOT(ISNUMBER(SEARCH("NO CUMPLE",I66))),NOT(ISNUMBER(SEARCH("PARCIALMENTE",I66))))</formula>
    </cfRule>
  </conditionalFormatting>
  <conditionalFormatting sqref="I67:M67">
    <cfRule type="expression" dxfId="221" priority="220">
      <formula>AND(I67&lt;&gt;"",ISNUMBER(SEARCH("NO CUMPLE",I67)))</formula>
    </cfRule>
    <cfRule type="expression" dxfId="220" priority="221">
      <formula>AND(I67&lt;&gt;"",ISNUMBER(SEARCH("PARCIALMENTE",I67)))</formula>
    </cfRule>
    <cfRule type="expression" dxfId="219" priority="222">
      <formula>AND(I67&lt;&gt;"",ISNUMBER(SEARCH("CUMPLE",I67)),NOT(ISNUMBER(SEARCH("NO CUMPLE",I67))),NOT(ISNUMBER(SEARCH("PARCIALMENTE",I67))))</formula>
    </cfRule>
  </conditionalFormatting>
  <conditionalFormatting sqref="I68:M68">
    <cfRule type="expression" dxfId="218" priority="217">
      <formula>AND(I68&lt;&gt;"",ISNUMBER(SEARCH("NO CUMPLE",I68)))</formula>
    </cfRule>
    <cfRule type="expression" dxfId="217" priority="218">
      <formula>AND(I68&lt;&gt;"",ISNUMBER(SEARCH("PARCIALMENTE",I68)))</formula>
    </cfRule>
    <cfRule type="expression" dxfId="216" priority="219">
      <formula>AND(I68&lt;&gt;"",ISNUMBER(SEARCH("CUMPLE",I68)),NOT(ISNUMBER(SEARCH("NO CUMPLE",I68))),NOT(ISNUMBER(SEARCH("PARCIALMENTE",I68))))</formula>
    </cfRule>
  </conditionalFormatting>
  <conditionalFormatting sqref="J69:M69">
    <cfRule type="expression" dxfId="215" priority="214">
      <formula>AND(J69&lt;&gt;"",ISNUMBER(SEARCH("NO CUMPLE",J69)))</formula>
    </cfRule>
    <cfRule type="expression" dxfId="214" priority="215">
      <formula>AND(J69&lt;&gt;"",ISNUMBER(SEARCH("PARCIALMENTE",J69)))</formula>
    </cfRule>
    <cfRule type="expression" dxfId="213" priority="216">
      <formula>AND(J69&lt;&gt;"",ISNUMBER(SEARCH("CUMPLE",J69)),NOT(ISNUMBER(SEARCH("NO CUMPLE",J69))),NOT(ISNUMBER(SEARCH("PARCIALMENTE",J69))))</formula>
    </cfRule>
  </conditionalFormatting>
  <conditionalFormatting sqref="J70 L70:M70">
    <cfRule type="expression" dxfId="212" priority="211">
      <formula>AND(J70&lt;&gt;"",ISNUMBER(SEARCH("NO CUMPLE",J70)))</formula>
    </cfRule>
    <cfRule type="expression" dxfId="211" priority="212">
      <formula>AND(J70&lt;&gt;"",ISNUMBER(SEARCH("PARCIALMENTE",J70)))</formula>
    </cfRule>
    <cfRule type="expression" dxfId="210" priority="213">
      <formula>AND(J70&lt;&gt;"",ISNUMBER(SEARCH("CUMPLE",J70)),NOT(ISNUMBER(SEARCH("NO CUMPLE",J70))),NOT(ISNUMBER(SEARCH("PARCIALMENTE",J70))))</formula>
    </cfRule>
  </conditionalFormatting>
  <conditionalFormatting sqref="J71:M71">
    <cfRule type="expression" dxfId="209" priority="208">
      <formula>AND(J71&lt;&gt;"",ISNUMBER(SEARCH("NO CUMPLE",J71)))</formula>
    </cfRule>
    <cfRule type="expression" dxfId="208" priority="209">
      <formula>AND(J71&lt;&gt;"",ISNUMBER(SEARCH("PARCIALMENTE",J71)))</formula>
    </cfRule>
    <cfRule type="expression" dxfId="207" priority="210">
      <formula>AND(J71&lt;&gt;"",ISNUMBER(SEARCH("CUMPLE",J71)),NOT(ISNUMBER(SEARCH("NO CUMPLE",J71))),NOT(ISNUMBER(SEARCH("PARCIALMENTE",J71))))</formula>
    </cfRule>
  </conditionalFormatting>
  <conditionalFormatting sqref="I69:I71">
    <cfRule type="expression" dxfId="206" priority="205">
      <formula>AND(I69&lt;&gt;"",ISNUMBER(SEARCH("NO CUMPLE",I69)))</formula>
    </cfRule>
    <cfRule type="expression" dxfId="205" priority="206">
      <formula>AND(I69&lt;&gt;"",ISNUMBER(SEARCH("PARCIALMENTE",I69)))</formula>
    </cfRule>
    <cfRule type="expression" dxfId="204" priority="207">
      <formula>AND(I69&lt;&gt;"",ISNUMBER(SEARCH("CUMPLE",I69)),NOT(ISNUMBER(SEARCH("NO CUMPLE",I69))),NOT(ISNUMBER(SEARCH("PARCIALMENTE",I69))))</formula>
    </cfRule>
  </conditionalFormatting>
  <conditionalFormatting sqref="K70">
    <cfRule type="expression" dxfId="203" priority="202">
      <formula>AND(K70&lt;&gt;"",ISNUMBER(SEARCH("NO CUMPLE",K70)))</formula>
    </cfRule>
    <cfRule type="expression" dxfId="202" priority="203">
      <formula>AND(K70&lt;&gt;"",ISNUMBER(SEARCH("PARCIALMENTE",K70)))</formula>
    </cfRule>
    <cfRule type="expression" dxfId="201" priority="204">
      <formula>AND(K70&lt;&gt;"",ISNUMBER(SEARCH("CUMPLE",K70)),NOT(ISNUMBER(SEARCH("NO CUMPLE",K70))),NOT(ISNUMBER(SEARCH("PARCIALMENTE",K70))))</formula>
    </cfRule>
  </conditionalFormatting>
  <conditionalFormatting sqref="I72:M72">
    <cfRule type="expression" dxfId="200" priority="199">
      <formula>AND(I72&lt;&gt;"",ISNUMBER(SEARCH("NO CUMPLE",I72)))</formula>
    </cfRule>
    <cfRule type="expression" dxfId="199" priority="200">
      <formula>AND(I72&lt;&gt;"",ISNUMBER(SEARCH("PARCIALMENTE",I72)))</formula>
    </cfRule>
    <cfRule type="expression" dxfId="198" priority="201">
      <formula>AND(I72&lt;&gt;"",ISNUMBER(SEARCH("CUMPLE",I72)),NOT(ISNUMBER(SEARCH("NO CUMPLE",I72))),NOT(ISNUMBER(SEARCH("PARCIALMENTE",I72))))</formula>
    </cfRule>
  </conditionalFormatting>
  <conditionalFormatting sqref="I73:M73">
    <cfRule type="expression" dxfId="197" priority="196">
      <formula>AND(I73&lt;&gt;"",ISNUMBER(SEARCH("NO CUMPLE",I73)))</formula>
    </cfRule>
    <cfRule type="expression" dxfId="196" priority="197">
      <formula>AND(I73&lt;&gt;"",ISNUMBER(SEARCH("PARCIALMENTE",I73)))</formula>
    </cfRule>
    <cfRule type="expression" dxfId="195" priority="198">
      <formula>AND(I73&lt;&gt;"",ISNUMBER(SEARCH("CUMPLE",I73)),NOT(ISNUMBER(SEARCH("NO CUMPLE",I73))),NOT(ISNUMBER(SEARCH("PARCIALMENTE",I73))))</formula>
    </cfRule>
  </conditionalFormatting>
  <conditionalFormatting sqref="I74:M74">
    <cfRule type="expression" dxfId="194" priority="193">
      <formula>AND(I74&lt;&gt;"",ISNUMBER(SEARCH("NO CUMPLE",I74)))</formula>
    </cfRule>
    <cfRule type="expression" dxfId="193" priority="194">
      <formula>AND(I74&lt;&gt;"",ISNUMBER(SEARCH("PARCIALMENTE",I74)))</formula>
    </cfRule>
    <cfRule type="expression" dxfId="192" priority="195">
      <formula>AND(I74&lt;&gt;"",ISNUMBER(SEARCH("CUMPLE",I74)),NOT(ISNUMBER(SEARCH("NO CUMPLE",I74))),NOT(ISNUMBER(SEARCH("PARCIALMENTE",I74))))</formula>
    </cfRule>
  </conditionalFormatting>
  <conditionalFormatting sqref="I75:M75">
    <cfRule type="expression" dxfId="191" priority="190">
      <formula>AND(I75&lt;&gt;"",ISNUMBER(SEARCH("NO CUMPLE",I75)))</formula>
    </cfRule>
    <cfRule type="expression" dxfId="190" priority="191">
      <formula>AND(I75&lt;&gt;"",ISNUMBER(SEARCH("PARCIALMENTE",I75)))</formula>
    </cfRule>
    <cfRule type="expression" dxfId="189" priority="192">
      <formula>AND(I75&lt;&gt;"",ISNUMBER(SEARCH("CUMPLE",I75)),NOT(ISNUMBER(SEARCH("NO CUMPLE",I75))),NOT(ISNUMBER(SEARCH("PARCIALMENTE",I75))))</formula>
    </cfRule>
  </conditionalFormatting>
  <conditionalFormatting sqref="I76:M76">
    <cfRule type="expression" dxfId="188" priority="187">
      <formula>AND(I76&lt;&gt;"",ISNUMBER(SEARCH("NO CUMPLE",I76)))</formula>
    </cfRule>
    <cfRule type="expression" dxfId="187" priority="188">
      <formula>AND(I76&lt;&gt;"",ISNUMBER(SEARCH("PARCIALMENTE",I76)))</formula>
    </cfRule>
    <cfRule type="expression" dxfId="186" priority="189">
      <formula>AND(I76&lt;&gt;"",ISNUMBER(SEARCH("CUMPLE",I76)),NOT(ISNUMBER(SEARCH("NO CUMPLE",I76))),NOT(ISNUMBER(SEARCH("PARCIALMENTE",I76))))</formula>
    </cfRule>
  </conditionalFormatting>
  <conditionalFormatting sqref="I77:M77">
    <cfRule type="expression" dxfId="185" priority="184">
      <formula>AND(I77&lt;&gt;"",ISNUMBER(SEARCH("NO CUMPLE",I77)))</formula>
    </cfRule>
    <cfRule type="expression" dxfId="184" priority="185">
      <formula>AND(I77&lt;&gt;"",ISNUMBER(SEARCH("PARCIALMENTE",I77)))</formula>
    </cfRule>
    <cfRule type="expression" dxfId="183" priority="186">
      <formula>AND(I77&lt;&gt;"",ISNUMBER(SEARCH("CUMPLE",I77)),NOT(ISNUMBER(SEARCH("NO CUMPLE",I77))),NOT(ISNUMBER(SEARCH("PARCIALMENTE",I77))))</formula>
    </cfRule>
  </conditionalFormatting>
  <conditionalFormatting sqref="I78:M78">
    <cfRule type="expression" dxfId="182" priority="181">
      <formula>AND(I78&lt;&gt;"",ISNUMBER(SEARCH("NO CUMPLE",I78)))</formula>
    </cfRule>
    <cfRule type="expression" dxfId="181" priority="182">
      <formula>AND(I78&lt;&gt;"",ISNUMBER(SEARCH("PARCIALMENTE",I78)))</formula>
    </cfRule>
    <cfRule type="expression" dxfId="180" priority="183">
      <formula>AND(I78&lt;&gt;"",ISNUMBER(SEARCH("CUMPLE",I78)),NOT(ISNUMBER(SEARCH("NO CUMPLE",I78))),NOT(ISNUMBER(SEARCH("PARCIALMENTE",I78))))</formula>
    </cfRule>
  </conditionalFormatting>
  <conditionalFormatting sqref="I79:M79">
    <cfRule type="expression" dxfId="179" priority="178">
      <formula>AND(I79&lt;&gt;"",ISNUMBER(SEARCH("NO CUMPLE",I79)))</formula>
    </cfRule>
    <cfRule type="expression" dxfId="178" priority="179">
      <formula>AND(I79&lt;&gt;"",ISNUMBER(SEARCH("PARCIALMENTE",I79)))</formula>
    </cfRule>
    <cfRule type="expression" dxfId="177" priority="180">
      <formula>AND(I79&lt;&gt;"",ISNUMBER(SEARCH("CUMPLE",I79)),NOT(ISNUMBER(SEARCH("NO CUMPLE",I79))),NOT(ISNUMBER(SEARCH("PARCIALMENTE",I79))))</formula>
    </cfRule>
  </conditionalFormatting>
  <conditionalFormatting sqref="J80:M80">
    <cfRule type="expression" dxfId="176" priority="175">
      <formula>AND(J80&lt;&gt;"",ISNUMBER(SEARCH("NO CUMPLE",J80)))</formula>
    </cfRule>
    <cfRule type="expression" dxfId="175" priority="176">
      <formula>AND(J80&lt;&gt;"",ISNUMBER(SEARCH("PARCIALMENTE",J80)))</formula>
    </cfRule>
    <cfRule type="expression" dxfId="174" priority="177">
      <formula>AND(J80&lt;&gt;"",ISNUMBER(SEARCH("CUMPLE",J80)),NOT(ISNUMBER(SEARCH("NO CUMPLE",J80))),NOT(ISNUMBER(SEARCH("PARCIALMENTE",J80))))</formula>
    </cfRule>
  </conditionalFormatting>
  <conditionalFormatting sqref="J81 L81:M81">
    <cfRule type="expression" dxfId="173" priority="172">
      <formula>AND(J81&lt;&gt;"",ISNUMBER(SEARCH("NO CUMPLE",J81)))</formula>
    </cfRule>
    <cfRule type="expression" dxfId="172" priority="173">
      <formula>AND(J81&lt;&gt;"",ISNUMBER(SEARCH("PARCIALMENTE",J81)))</formula>
    </cfRule>
    <cfRule type="expression" dxfId="171" priority="174">
      <formula>AND(J81&lt;&gt;"",ISNUMBER(SEARCH("CUMPLE",J81)),NOT(ISNUMBER(SEARCH("NO CUMPLE",J81))),NOT(ISNUMBER(SEARCH("PARCIALMENTE",J81))))</formula>
    </cfRule>
  </conditionalFormatting>
  <conditionalFormatting sqref="J82:M82">
    <cfRule type="expression" dxfId="170" priority="169">
      <formula>AND(J82&lt;&gt;"",ISNUMBER(SEARCH("NO CUMPLE",J82)))</formula>
    </cfRule>
    <cfRule type="expression" dxfId="169" priority="170">
      <formula>AND(J82&lt;&gt;"",ISNUMBER(SEARCH("PARCIALMENTE",J82)))</formula>
    </cfRule>
    <cfRule type="expression" dxfId="168" priority="171">
      <formula>AND(J82&lt;&gt;"",ISNUMBER(SEARCH("CUMPLE",J82)),NOT(ISNUMBER(SEARCH("NO CUMPLE",J82))),NOT(ISNUMBER(SEARCH("PARCIALMENTE",J82))))</formula>
    </cfRule>
  </conditionalFormatting>
  <conditionalFormatting sqref="I80:I84">
    <cfRule type="expression" dxfId="167" priority="166">
      <formula>AND(I80&lt;&gt;"",ISNUMBER(SEARCH("NO CUMPLE",I80)))</formula>
    </cfRule>
    <cfRule type="expression" dxfId="166" priority="167">
      <formula>AND(I80&lt;&gt;"",ISNUMBER(SEARCH("PARCIALMENTE",I80)))</formula>
    </cfRule>
    <cfRule type="expression" dxfId="165" priority="168">
      <formula>AND(I80&lt;&gt;"",ISNUMBER(SEARCH("CUMPLE",I80)),NOT(ISNUMBER(SEARCH("NO CUMPLE",I80))),NOT(ISNUMBER(SEARCH("PARCIALMENTE",I80))))</formula>
    </cfRule>
  </conditionalFormatting>
  <conditionalFormatting sqref="K81">
    <cfRule type="expression" dxfId="164" priority="163">
      <formula>AND(K81&lt;&gt;"",ISNUMBER(SEARCH("NO CUMPLE",K81)))</formula>
    </cfRule>
    <cfRule type="expression" dxfId="163" priority="164">
      <formula>AND(K81&lt;&gt;"",ISNUMBER(SEARCH("PARCIALMENTE",K81)))</formula>
    </cfRule>
    <cfRule type="expression" dxfId="162" priority="165">
      <formula>AND(K81&lt;&gt;"",ISNUMBER(SEARCH("CUMPLE",K81)),NOT(ISNUMBER(SEARCH("NO CUMPLE",K81))),NOT(ISNUMBER(SEARCH("PARCIALMENTE",K81))))</formula>
    </cfRule>
  </conditionalFormatting>
  <conditionalFormatting sqref="J83:M83">
    <cfRule type="expression" dxfId="161" priority="160">
      <formula>AND(J83&lt;&gt;"",ISNUMBER(SEARCH("NO CUMPLE",J83)))</formula>
    </cfRule>
    <cfRule type="expression" dxfId="160" priority="161">
      <formula>AND(J83&lt;&gt;"",ISNUMBER(SEARCH("PARCIALMENTE",J83)))</formula>
    </cfRule>
    <cfRule type="expression" dxfId="159" priority="162">
      <formula>AND(J83&lt;&gt;"",ISNUMBER(SEARCH("CUMPLE",J83)),NOT(ISNUMBER(SEARCH("NO CUMPLE",J83))),NOT(ISNUMBER(SEARCH("PARCIALMENTE",J83))))</formula>
    </cfRule>
  </conditionalFormatting>
  <conditionalFormatting sqref="J84:M84">
    <cfRule type="expression" dxfId="158" priority="157">
      <formula>AND(J84&lt;&gt;"",ISNUMBER(SEARCH("NO CUMPLE",J84)))</formula>
    </cfRule>
    <cfRule type="expression" dxfId="157" priority="158">
      <formula>AND(J84&lt;&gt;"",ISNUMBER(SEARCH("PARCIALMENTE",J84)))</formula>
    </cfRule>
    <cfRule type="expression" dxfId="156" priority="159">
      <formula>AND(J84&lt;&gt;"",ISNUMBER(SEARCH("CUMPLE",J84)),NOT(ISNUMBER(SEARCH("NO CUMPLE",J84))),NOT(ISNUMBER(SEARCH("PARCIALMENTE",J84))))</formula>
    </cfRule>
  </conditionalFormatting>
  <conditionalFormatting sqref="I85:M85">
    <cfRule type="expression" dxfId="155" priority="154">
      <formula>AND(I85&lt;&gt;"",ISNUMBER(SEARCH("NO CUMPLE",I85)))</formula>
    </cfRule>
    <cfRule type="expression" dxfId="154" priority="155">
      <formula>AND(I85&lt;&gt;"",ISNUMBER(SEARCH("PARCIALMENTE",I85)))</formula>
    </cfRule>
    <cfRule type="expression" dxfId="153" priority="156">
      <formula>AND(I85&lt;&gt;"",ISNUMBER(SEARCH("CUMPLE",I85)),NOT(ISNUMBER(SEARCH("NO CUMPLE",I85))),NOT(ISNUMBER(SEARCH("PARCIALMENTE",I85))))</formula>
    </cfRule>
  </conditionalFormatting>
  <conditionalFormatting sqref="I86:M86">
    <cfRule type="expression" dxfId="152" priority="151">
      <formula>AND(I86&lt;&gt;"",ISNUMBER(SEARCH("NO CUMPLE",I86)))</formula>
    </cfRule>
    <cfRule type="expression" dxfId="151" priority="152">
      <formula>AND(I86&lt;&gt;"",ISNUMBER(SEARCH("PARCIALMENTE",I86)))</formula>
    </cfRule>
    <cfRule type="expression" dxfId="150" priority="153">
      <formula>AND(I86&lt;&gt;"",ISNUMBER(SEARCH("CUMPLE",I86)),NOT(ISNUMBER(SEARCH("NO CUMPLE",I86))),NOT(ISNUMBER(SEARCH("PARCIALMENTE",I86))))</formula>
    </cfRule>
  </conditionalFormatting>
  <conditionalFormatting sqref="I87:M87">
    <cfRule type="expression" dxfId="149" priority="148">
      <formula>AND(I87&lt;&gt;"",ISNUMBER(SEARCH("NO CUMPLE",I87)))</formula>
    </cfRule>
    <cfRule type="expression" dxfId="148" priority="149">
      <formula>AND(I87&lt;&gt;"",ISNUMBER(SEARCH("PARCIALMENTE",I87)))</formula>
    </cfRule>
    <cfRule type="expression" dxfId="147" priority="150">
      <formula>AND(I87&lt;&gt;"",ISNUMBER(SEARCH("CUMPLE",I87)),NOT(ISNUMBER(SEARCH("NO CUMPLE",I87))),NOT(ISNUMBER(SEARCH("PARCIALMENTE",I87))))</formula>
    </cfRule>
  </conditionalFormatting>
  <conditionalFormatting sqref="I88:M88">
    <cfRule type="expression" dxfId="146" priority="145">
      <formula>AND(I88&lt;&gt;"",ISNUMBER(SEARCH("NO CUMPLE",I88)))</formula>
    </cfRule>
    <cfRule type="expression" dxfId="145" priority="146">
      <formula>AND(I88&lt;&gt;"",ISNUMBER(SEARCH("PARCIALMENTE",I88)))</formula>
    </cfRule>
    <cfRule type="expression" dxfId="144" priority="147">
      <formula>AND(I88&lt;&gt;"",ISNUMBER(SEARCH("CUMPLE",I88)),NOT(ISNUMBER(SEARCH("NO CUMPLE",I88))),NOT(ISNUMBER(SEARCH("PARCIALMENTE",I88))))</formula>
    </cfRule>
  </conditionalFormatting>
  <conditionalFormatting sqref="I89:M89">
    <cfRule type="expression" dxfId="143" priority="142">
      <formula>AND(I89&lt;&gt;"",ISNUMBER(SEARCH("NO CUMPLE",I89)))</formula>
    </cfRule>
    <cfRule type="expression" dxfId="142" priority="143">
      <formula>AND(I89&lt;&gt;"",ISNUMBER(SEARCH("PARCIALMENTE",I89)))</formula>
    </cfRule>
    <cfRule type="expression" dxfId="141" priority="144">
      <formula>AND(I89&lt;&gt;"",ISNUMBER(SEARCH("CUMPLE",I89)),NOT(ISNUMBER(SEARCH("NO CUMPLE",I89))),NOT(ISNUMBER(SEARCH("PARCIALMENTE",I89))))</formula>
    </cfRule>
  </conditionalFormatting>
  <conditionalFormatting sqref="I90:M90">
    <cfRule type="expression" dxfId="140" priority="139">
      <formula>AND(I90&lt;&gt;"",ISNUMBER(SEARCH("NO CUMPLE",I90)))</formula>
    </cfRule>
    <cfRule type="expression" dxfId="139" priority="140">
      <formula>AND(I90&lt;&gt;"",ISNUMBER(SEARCH("PARCIALMENTE",I90)))</formula>
    </cfRule>
    <cfRule type="expression" dxfId="138" priority="141">
      <formula>AND(I90&lt;&gt;"",ISNUMBER(SEARCH("CUMPLE",I90)),NOT(ISNUMBER(SEARCH("NO CUMPLE",I90))),NOT(ISNUMBER(SEARCH("PARCIALMENTE",I90))))</formula>
    </cfRule>
  </conditionalFormatting>
  <conditionalFormatting sqref="J91 L91:M91">
    <cfRule type="expression" dxfId="137" priority="136">
      <formula>AND(J91&lt;&gt;"",ISNUMBER(SEARCH("NO CUMPLE",J91)))</formula>
    </cfRule>
    <cfRule type="expression" dxfId="136" priority="137">
      <formula>AND(J91&lt;&gt;"",ISNUMBER(SEARCH("PARCIALMENTE",J91)))</formula>
    </cfRule>
    <cfRule type="expression" dxfId="135" priority="138">
      <formula>AND(J91&lt;&gt;"",ISNUMBER(SEARCH("CUMPLE",J91)),NOT(ISNUMBER(SEARCH("NO CUMPLE",J91))),NOT(ISNUMBER(SEARCH("PARCIALMENTE",J91))))</formula>
    </cfRule>
  </conditionalFormatting>
  <conditionalFormatting sqref="J92 L92:M92">
    <cfRule type="expression" dxfId="134" priority="133">
      <formula>AND(J92&lt;&gt;"",ISNUMBER(SEARCH("NO CUMPLE",J92)))</formula>
    </cfRule>
    <cfRule type="expression" dxfId="133" priority="134">
      <formula>AND(J92&lt;&gt;"",ISNUMBER(SEARCH("PARCIALMENTE",J92)))</formula>
    </cfRule>
    <cfRule type="expression" dxfId="132" priority="135">
      <formula>AND(J92&lt;&gt;"",ISNUMBER(SEARCH("CUMPLE",J92)),NOT(ISNUMBER(SEARCH("NO CUMPLE",J92))),NOT(ISNUMBER(SEARCH("PARCIALMENTE",J92))))</formula>
    </cfRule>
  </conditionalFormatting>
  <conditionalFormatting sqref="I91:I92">
    <cfRule type="expression" dxfId="131" priority="127">
      <formula>AND(I91&lt;&gt;"",ISNUMBER(SEARCH("NO CUMPLE",I91)))</formula>
    </cfRule>
    <cfRule type="expression" dxfId="130" priority="128">
      <formula>AND(I91&lt;&gt;"",ISNUMBER(SEARCH("PARCIALMENTE",I91)))</formula>
    </cfRule>
    <cfRule type="expression" dxfId="129" priority="129">
      <formula>AND(I91&lt;&gt;"",ISNUMBER(SEARCH("CUMPLE",I91)),NOT(ISNUMBER(SEARCH("NO CUMPLE",I91))),NOT(ISNUMBER(SEARCH("PARCIALMENTE",I91))))</formula>
    </cfRule>
  </conditionalFormatting>
  <conditionalFormatting sqref="K91">
    <cfRule type="expression" dxfId="128" priority="121">
      <formula>AND(K91&lt;&gt;"",ISNUMBER(SEARCH("NO CUMPLE",K91)))</formula>
    </cfRule>
    <cfRule type="expression" dxfId="127" priority="122">
      <formula>AND(K91&lt;&gt;"",ISNUMBER(SEARCH("PARCIALMENTE",K91)))</formula>
    </cfRule>
    <cfRule type="expression" dxfId="126" priority="123">
      <formula>AND(K91&lt;&gt;"",ISNUMBER(SEARCH("CUMPLE",K91)),NOT(ISNUMBER(SEARCH("NO CUMPLE",K91))),NOT(ISNUMBER(SEARCH("PARCIALMENTE",K91))))</formula>
    </cfRule>
  </conditionalFormatting>
  <conditionalFormatting sqref="K92">
    <cfRule type="expression" dxfId="125" priority="118">
      <formula>AND(K92&lt;&gt;"",ISNUMBER(SEARCH("NO CUMPLE",K92)))</formula>
    </cfRule>
    <cfRule type="expression" dxfId="124" priority="119">
      <formula>AND(K92&lt;&gt;"",ISNUMBER(SEARCH("PARCIALMENTE",K92)))</formula>
    </cfRule>
    <cfRule type="expression" dxfId="123" priority="120">
      <formula>AND(K92&lt;&gt;"",ISNUMBER(SEARCH("CUMPLE",K92)),NOT(ISNUMBER(SEARCH("NO CUMPLE",K92))),NOT(ISNUMBER(SEARCH("PARCIALMENTE",K92))))</formula>
    </cfRule>
  </conditionalFormatting>
  <conditionalFormatting sqref="I93:M118">
    <cfRule type="expression" dxfId="122" priority="115">
      <formula>AND(I93&lt;&gt;"",ISNUMBER(SEARCH("NO CUMPLE",I93)))</formula>
    </cfRule>
    <cfRule type="expression" dxfId="121" priority="116">
      <formula>AND(I93&lt;&gt;"",ISNUMBER(SEARCH("PARCIALMENTE",I93)))</formula>
    </cfRule>
    <cfRule type="expression" dxfId="120" priority="117">
      <formula>AND(I93&lt;&gt;"",ISNUMBER(SEARCH("CUMPLE",I93)),NOT(ISNUMBER(SEARCH("NO CUMPLE",I93))),NOT(ISNUMBER(SEARCH("PARCIALMENTE",I93))))</formula>
    </cfRule>
  </conditionalFormatting>
  <conditionalFormatting sqref="I94:M94">
    <cfRule type="expression" dxfId="119" priority="112">
      <formula>AND(I94&lt;&gt;"",ISNUMBER(SEARCH("NO CUMPLE",I94)))</formula>
    </cfRule>
    <cfRule type="expression" dxfId="118" priority="113">
      <formula>AND(I94&lt;&gt;"",ISNUMBER(SEARCH("PARCIALMENTE",I94)))</formula>
    </cfRule>
    <cfRule type="expression" dxfId="117" priority="114">
      <formula>AND(I94&lt;&gt;"",ISNUMBER(SEARCH("CUMPLE",I94)),NOT(ISNUMBER(SEARCH("NO CUMPLE",I94))),NOT(ISNUMBER(SEARCH("PARCIALMENTE",I94))))</formula>
    </cfRule>
  </conditionalFormatting>
  <conditionalFormatting sqref="J95:M95">
    <cfRule type="expression" dxfId="116" priority="109">
      <formula>AND(J95&lt;&gt;"",ISNUMBER(SEARCH("NO CUMPLE",J95)))</formula>
    </cfRule>
    <cfRule type="expression" dxfId="115" priority="110">
      <formula>AND(J95&lt;&gt;"",ISNUMBER(SEARCH("PARCIALMENTE",J95)))</formula>
    </cfRule>
    <cfRule type="expression" dxfId="114" priority="111">
      <formula>AND(J95&lt;&gt;"",ISNUMBER(SEARCH("CUMPLE",J95)),NOT(ISNUMBER(SEARCH("NO CUMPLE",J95))),NOT(ISNUMBER(SEARCH("PARCIALMENTE",J95))))</formula>
    </cfRule>
  </conditionalFormatting>
  <conditionalFormatting sqref="J96 L96:M96">
    <cfRule type="expression" dxfId="113" priority="106">
      <formula>AND(J96&lt;&gt;"",ISNUMBER(SEARCH("NO CUMPLE",J96)))</formula>
    </cfRule>
    <cfRule type="expression" dxfId="112" priority="107">
      <formula>AND(J96&lt;&gt;"",ISNUMBER(SEARCH("PARCIALMENTE",J96)))</formula>
    </cfRule>
    <cfRule type="expression" dxfId="111" priority="108">
      <formula>AND(J96&lt;&gt;"",ISNUMBER(SEARCH("CUMPLE",J96)),NOT(ISNUMBER(SEARCH("NO CUMPLE",J96))),NOT(ISNUMBER(SEARCH("PARCIALMENTE",J96))))</formula>
    </cfRule>
  </conditionalFormatting>
  <conditionalFormatting sqref="J97:M97">
    <cfRule type="expression" dxfId="110" priority="103">
      <formula>AND(J97&lt;&gt;"",ISNUMBER(SEARCH("NO CUMPLE",J97)))</formula>
    </cfRule>
    <cfRule type="expression" dxfId="109" priority="104">
      <formula>AND(J97&lt;&gt;"",ISNUMBER(SEARCH("PARCIALMENTE",J97)))</formula>
    </cfRule>
    <cfRule type="expression" dxfId="108" priority="105">
      <formula>AND(J97&lt;&gt;"",ISNUMBER(SEARCH("CUMPLE",J97)),NOT(ISNUMBER(SEARCH("NO CUMPLE",J97))),NOT(ISNUMBER(SEARCH("PARCIALMENTE",J97))))</formula>
    </cfRule>
  </conditionalFormatting>
  <conditionalFormatting sqref="I95:I97">
    <cfRule type="expression" dxfId="107" priority="100">
      <formula>AND(I95&lt;&gt;"",ISNUMBER(SEARCH("NO CUMPLE",I95)))</formula>
    </cfRule>
    <cfRule type="expression" dxfId="106" priority="101">
      <formula>AND(I95&lt;&gt;"",ISNUMBER(SEARCH("PARCIALMENTE",I95)))</formula>
    </cfRule>
    <cfRule type="expression" dxfId="105" priority="102">
      <formula>AND(I95&lt;&gt;"",ISNUMBER(SEARCH("CUMPLE",I95)),NOT(ISNUMBER(SEARCH("NO CUMPLE",I95))),NOT(ISNUMBER(SEARCH("PARCIALMENTE",I95))))</formula>
    </cfRule>
  </conditionalFormatting>
  <conditionalFormatting sqref="K96">
    <cfRule type="expression" dxfId="104" priority="97">
      <formula>AND(K96&lt;&gt;"",ISNUMBER(SEARCH("NO CUMPLE",K96)))</formula>
    </cfRule>
    <cfRule type="expression" dxfId="103" priority="98">
      <formula>AND(K96&lt;&gt;"",ISNUMBER(SEARCH("PARCIALMENTE",K96)))</formula>
    </cfRule>
    <cfRule type="expression" dxfId="102" priority="99">
      <formula>AND(K96&lt;&gt;"",ISNUMBER(SEARCH("CUMPLE",K96)),NOT(ISNUMBER(SEARCH("NO CUMPLE",K96))),NOT(ISNUMBER(SEARCH("PARCIALMENTE",K96))))</formula>
    </cfRule>
  </conditionalFormatting>
  <conditionalFormatting sqref="I98:M98">
    <cfRule type="expression" dxfId="101" priority="94">
      <formula>AND(I98&lt;&gt;"",ISNUMBER(SEARCH("NO CUMPLE",I98)))</formula>
    </cfRule>
    <cfRule type="expression" dxfId="100" priority="95">
      <formula>AND(I98&lt;&gt;"",ISNUMBER(SEARCH("PARCIALMENTE",I98)))</formula>
    </cfRule>
    <cfRule type="expression" dxfId="99" priority="96">
      <formula>AND(I98&lt;&gt;"",ISNUMBER(SEARCH("CUMPLE",I98)),NOT(ISNUMBER(SEARCH("NO CUMPLE",I98))),NOT(ISNUMBER(SEARCH("PARCIALMENTE",I98))))</formula>
    </cfRule>
  </conditionalFormatting>
  <conditionalFormatting sqref="I99:M99">
    <cfRule type="expression" dxfId="98" priority="91">
      <formula>AND(I99&lt;&gt;"",ISNUMBER(SEARCH("NO CUMPLE",I99)))</formula>
    </cfRule>
    <cfRule type="expression" dxfId="97" priority="92">
      <formula>AND(I99&lt;&gt;"",ISNUMBER(SEARCH("PARCIALMENTE",I99)))</formula>
    </cfRule>
    <cfRule type="expression" dxfId="96" priority="93">
      <formula>AND(I99&lt;&gt;"",ISNUMBER(SEARCH("CUMPLE",I99)),NOT(ISNUMBER(SEARCH("NO CUMPLE",I99))),NOT(ISNUMBER(SEARCH("PARCIALMENTE",I99))))</formula>
    </cfRule>
  </conditionalFormatting>
  <conditionalFormatting sqref="I100:M100">
    <cfRule type="expression" dxfId="95" priority="88">
      <formula>AND(I100&lt;&gt;"",ISNUMBER(SEARCH("NO CUMPLE",I100)))</formula>
    </cfRule>
    <cfRule type="expression" dxfId="94" priority="89">
      <formula>AND(I100&lt;&gt;"",ISNUMBER(SEARCH("PARCIALMENTE",I100)))</formula>
    </cfRule>
    <cfRule type="expression" dxfId="93" priority="90">
      <formula>AND(I100&lt;&gt;"",ISNUMBER(SEARCH("CUMPLE",I100)),NOT(ISNUMBER(SEARCH("NO CUMPLE",I100))),NOT(ISNUMBER(SEARCH("PARCIALMENTE",I100))))</formula>
    </cfRule>
  </conditionalFormatting>
  <conditionalFormatting sqref="I101:M101">
    <cfRule type="expression" dxfId="92" priority="85">
      <formula>AND(I101&lt;&gt;"",ISNUMBER(SEARCH("NO CUMPLE",I101)))</formula>
    </cfRule>
    <cfRule type="expression" dxfId="91" priority="86">
      <formula>AND(I101&lt;&gt;"",ISNUMBER(SEARCH("PARCIALMENTE",I101)))</formula>
    </cfRule>
    <cfRule type="expression" dxfId="90" priority="87">
      <formula>AND(I101&lt;&gt;"",ISNUMBER(SEARCH("CUMPLE",I101)),NOT(ISNUMBER(SEARCH("NO CUMPLE",I101))),NOT(ISNUMBER(SEARCH("PARCIALMENTE",I101))))</formula>
    </cfRule>
  </conditionalFormatting>
  <conditionalFormatting sqref="I102:M102">
    <cfRule type="expression" dxfId="89" priority="82">
      <formula>AND(I102&lt;&gt;"",ISNUMBER(SEARCH("NO CUMPLE",I102)))</formula>
    </cfRule>
    <cfRule type="expression" dxfId="88" priority="83">
      <formula>AND(I102&lt;&gt;"",ISNUMBER(SEARCH("PARCIALMENTE",I102)))</formula>
    </cfRule>
    <cfRule type="expression" dxfId="87" priority="84">
      <formula>AND(I102&lt;&gt;"",ISNUMBER(SEARCH("CUMPLE",I102)),NOT(ISNUMBER(SEARCH("NO CUMPLE",I102))),NOT(ISNUMBER(SEARCH("PARCIALMENTE",I102))))</formula>
    </cfRule>
  </conditionalFormatting>
  <conditionalFormatting sqref="I103:M103">
    <cfRule type="expression" dxfId="86" priority="79">
      <formula>AND(I103&lt;&gt;"",ISNUMBER(SEARCH("NO CUMPLE",I103)))</formula>
    </cfRule>
    <cfRule type="expression" dxfId="85" priority="80">
      <formula>AND(I103&lt;&gt;"",ISNUMBER(SEARCH("PARCIALMENTE",I103)))</formula>
    </cfRule>
    <cfRule type="expression" dxfId="84" priority="81">
      <formula>AND(I103&lt;&gt;"",ISNUMBER(SEARCH("CUMPLE",I103)),NOT(ISNUMBER(SEARCH("NO CUMPLE",I103))),NOT(ISNUMBER(SEARCH("PARCIALMENTE",I103))))</formula>
    </cfRule>
  </conditionalFormatting>
  <conditionalFormatting sqref="I104:M104">
    <cfRule type="expression" dxfId="83" priority="76">
      <formula>AND(I104&lt;&gt;"",ISNUMBER(SEARCH("NO CUMPLE",I104)))</formula>
    </cfRule>
    <cfRule type="expression" dxfId="82" priority="77">
      <formula>AND(I104&lt;&gt;"",ISNUMBER(SEARCH("PARCIALMENTE",I104)))</formula>
    </cfRule>
    <cfRule type="expression" dxfId="81" priority="78">
      <formula>AND(I104&lt;&gt;"",ISNUMBER(SEARCH("CUMPLE",I104)),NOT(ISNUMBER(SEARCH("NO CUMPLE",I104))),NOT(ISNUMBER(SEARCH("PARCIALMENTE",I104))))</formula>
    </cfRule>
  </conditionalFormatting>
  <conditionalFormatting sqref="I105:M105">
    <cfRule type="expression" dxfId="80" priority="73">
      <formula>AND(I105&lt;&gt;"",ISNUMBER(SEARCH("NO CUMPLE",I105)))</formula>
    </cfRule>
    <cfRule type="expression" dxfId="79" priority="74">
      <formula>AND(I105&lt;&gt;"",ISNUMBER(SEARCH("PARCIALMENTE",I105)))</formula>
    </cfRule>
    <cfRule type="expression" dxfId="78" priority="75">
      <formula>AND(I105&lt;&gt;"",ISNUMBER(SEARCH("CUMPLE",I105)),NOT(ISNUMBER(SEARCH("NO CUMPLE",I105))),NOT(ISNUMBER(SEARCH("PARCIALMENTE",I105))))</formula>
    </cfRule>
  </conditionalFormatting>
  <conditionalFormatting sqref="J106:M106">
    <cfRule type="expression" dxfId="77" priority="70">
      <formula>AND(J106&lt;&gt;"",ISNUMBER(SEARCH("NO CUMPLE",J106)))</formula>
    </cfRule>
    <cfRule type="expression" dxfId="76" priority="71">
      <formula>AND(J106&lt;&gt;"",ISNUMBER(SEARCH("PARCIALMENTE",J106)))</formula>
    </cfRule>
    <cfRule type="expression" dxfId="75" priority="72">
      <formula>AND(J106&lt;&gt;"",ISNUMBER(SEARCH("CUMPLE",J106)),NOT(ISNUMBER(SEARCH("NO CUMPLE",J106))),NOT(ISNUMBER(SEARCH("PARCIALMENTE",J106))))</formula>
    </cfRule>
  </conditionalFormatting>
  <conditionalFormatting sqref="J107 L107:M107">
    <cfRule type="expression" dxfId="74" priority="67">
      <formula>AND(J107&lt;&gt;"",ISNUMBER(SEARCH("NO CUMPLE",J107)))</formula>
    </cfRule>
    <cfRule type="expression" dxfId="73" priority="68">
      <formula>AND(J107&lt;&gt;"",ISNUMBER(SEARCH("PARCIALMENTE",J107)))</formula>
    </cfRule>
    <cfRule type="expression" dxfId="72" priority="69">
      <formula>AND(J107&lt;&gt;"",ISNUMBER(SEARCH("CUMPLE",J107)),NOT(ISNUMBER(SEARCH("NO CUMPLE",J107))),NOT(ISNUMBER(SEARCH("PARCIALMENTE",J107))))</formula>
    </cfRule>
  </conditionalFormatting>
  <conditionalFormatting sqref="J108:M108">
    <cfRule type="expression" dxfId="71" priority="64">
      <formula>AND(J108&lt;&gt;"",ISNUMBER(SEARCH("NO CUMPLE",J108)))</formula>
    </cfRule>
    <cfRule type="expression" dxfId="70" priority="65">
      <formula>AND(J108&lt;&gt;"",ISNUMBER(SEARCH("PARCIALMENTE",J108)))</formula>
    </cfRule>
    <cfRule type="expression" dxfId="69" priority="66">
      <formula>AND(J108&lt;&gt;"",ISNUMBER(SEARCH("CUMPLE",J108)),NOT(ISNUMBER(SEARCH("NO CUMPLE",J108))),NOT(ISNUMBER(SEARCH("PARCIALMENTE",J108))))</formula>
    </cfRule>
  </conditionalFormatting>
  <conditionalFormatting sqref="I106:I110">
    <cfRule type="expression" dxfId="68" priority="61">
      <formula>AND(I106&lt;&gt;"",ISNUMBER(SEARCH("NO CUMPLE",I106)))</formula>
    </cfRule>
    <cfRule type="expression" dxfId="67" priority="62">
      <formula>AND(I106&lt;&gt;"",ISNUMBER(SEARCH("PARCIALMENTE",I106)))</formula>
    </cfRule>
    <cfRule type="expression" dxfId="66" priority="63">
      <formula>AND(I106&lt;&gt;"",ISNUMBER(SEARCH("CUMPLE",I106)),NOT(ISNUMBER(SEARCH("NO CUMPLE",I106))),NOT(ISNUMBER(SEARCH("PARCIALMENTE",I106))))</formula>
    </cfRule>
  </conditionalFormatting>
  <conditionalFormatting sqref="K107">
    <cfRule type="expression" dxfId="65" priority="58">
      <formula>AND(K107&lt;&gt;"",ISNUMBER(SEARCH("NO CUMPLE",K107)))</formula>
    </cfRule>
    <cfRule type="expression" dxfId="64" priority="59">
      <formula>AND(K107&lt;&gt;"",ISNUMBER(SEARCH("PARCIALMENTE",K107)))</formula>
    </cfRule>
    <cfRule type="expression" dxfId="63" priority="60">
      <formula>AND(K107&lt;&gt;"",ISNUMBER(SEARCH("CUMPLE",K107)),NOT(ISNUMBER(SEARCH("NO CUMPLE",K107))),NOT(ISNUMBER(SEARCH("PARCIALMENTE",K107))))</formula>
    </cfRule>
  </conditionalFormatting>
  <conditionalFormatting sqref="J109:M109">
    <cfRule type="expression" dxfId="62" priority="55">
      <formula>AND(J109&lt;&gt;"",ISNUMBER(SEARCH("NO CUMPLE",J109)))</formula>
    </cfRule>
    <cfRule type="expression" dxfId="61" priority="56">
      <formula>AND(J109&lt;&gt;"",ISNUMBER(SEARCH("PARCIALMENTE",J109)))</formula>
    </cfRule>
    <cfRule type="expression" dxfId="60" priority="57">
      <formula>AND(J109&lt;&gt;"",ISNUMBER(SEARCH("CUMPLE",J109)),NOT(ISNUMBER(SEARCH("NO CUMPLE",J109))),NOT(ISNUMBER(SEARCH("PARCIALMENTE",J109))))</formula>
    </cfRule>
  </conditionalFormatting>
  <conditionalFormatting sqref="J110:M110">
    <cfRule type="expression" dxfId="59" priority="52">
      <formula>AND(J110&lt;&gt;"",ISNUMBER(SEARCH("NO CUMPLE",J110)))</formula>
    </cfRule>
    <cfRule type="expression" dxfId="58" priority="53">
      <formula>AND(J110&lt;&gt;"",ISNUMBER(SEARCH("PARCIALMENTE",J110)))</formula>
    </cfRule>
    <cfRule type="expression" dxfId="57" priority="54">
      <formula>AND(J110&lt;&gt;"",ISNUMBER(SEARCH("CUMPLE",J110)),NOT(ISNUMBER(SEARCH("NO CUMPLE",J110))),NOT(ISNUMBER(SEARCH("PARCIALMENTE",J110))))</formula>
    </cfRule>
  </conditionalFormatting>
  <conditionalFormatting sqref="I111:M111">
    <cfRule type="expression" dxfId="56" priority="49">
      <formula>AND(I111&lt;&gt;"",ISNUMBER(SEARCH("NO CUMPLE",I111)))</formula>
    </cfRule>
    <cfRule type="expression" dxfId="55" priority="50">
      <formula>AND(I111&lt;&gt;"",ISNUMBER(SEARCH("PARCIALMENTE",I111)))</formula>
    </cfRule>
    <cfRule type="expression" dxfId="54" priority="51">
      <formula>AND(I111&lt;&gt;"",ISNUMBER(SEARCH("CUMPLE",I111)),NOT(ISNUMBER(SEARCH("NO CUMPLE",I111))),NOT(ISNUMBER(SEARCH("PARCIALMENTE",I111))))</formula>
    </cfRule>
  </conditionalFormatting>
  <conditionalFormatting sqref="I112:M112">
    <cfRule type="expression" dxfId="53" priority="46">
      <formula>AND(I112&lt;&gt;"",ISNUMBER(SEARCH("NO CUMPLE",I112)))</formula>
    </cfRule>
    <cfRule type="expression" dxfId="52" priority="47">
      <formula>AND(I112&lt;&gt;"",ISNUMBER(SEARCH("PARCIALMENTE",I112)))</formula>
    </cfRule>
    <cfRule type="expression" dxfId="51" priority="48">
      <formula>AND(I112&lt;&gt;"",ISNUMBER(SEARCH("CUMPLE",I112)),NOT(ISNUMBER(SEARCH("NO CUMPLE",I112))),NOT(ISNUMBER(SEARCH("PARCIALMENTE",I112))))</formula>
    </cfRule>
  </conditionalFormatting>
  <conditionalFormatting sqref="I113:M113">
    <cfRule type="expression" dxfId="50" priority="43">
      <formula>AND(I113&lt;&gt;"",ISNUMBER(SEARCH("NO CUMPLE",I113)))</formula>
    </cfRule>
    <cfRule type="expression" dxfId="49" priority="44">
      <formula>AND(I113&lt;&gt;"",ISNUMBER(SEARCH("PARCIALMENTE",I113)))</formula>
    </cfRule>
    <cfRule type="expression" dxfId="48" priority="45">
      <formula>AND(I113&lt;&gt;"",ISNUMBER(SEARCH("CUMPLE",I113)),NOT(ISNUMBER(SEARCH("NO CUMPLE",I113))),NOT(ISNUMBER(SEARCH("PARCIALMENTE",I113))))</formula>
    </cfRule>
  </conditionalFormatting>
  <conditionalFormatting sqref="I114:M114">
    <cfRule type="expression" dxfId="47" priority="40">
      <formula>AND(I114&lt;&gt;"",ISNUMBER(SEARCH("NO CUMPLE",I114)))</formula>
    </cfRule>
    <cfRule type="expression" dxfId="46" priority="41">
      <formula>AND(I114&lt;&gt;"",ISNUMBER(SEARCH("PARCIALMENTE",I114)))</formula>
    </cfRule>
    <cfRule type="expression" dxfId="45" priority="42">
      <formula>AND(I114&lt;&gt;"",ISNUMBER(SEARCH("CUMPLE",I114)),NOT(ISNUMBER(SEARCH("NO CUMPLE",I114))),NOT(ISNUMBER(SEARCH("PARCIALMENTE",I114))))</formula>
    </cfRule>
  </conditionalFormatting>
  <conditionalFormatting sqref="I115:M115">
    <cfRule type="expression" dxfId="44" priority="37">
      <formula>AND(I115&lt;&gt;"",ISNUMBER(SEARCH("NO CUMPLE",I115)))</formula>
    </cfRule>
    <cfRule type="expression" dxfId="43" priority="38">
      <formula>AND(I115&lt;&gt;"",ISNUMBER(SEARCH("PARCIALMENTE",I115)))</formula>
    </cfRule>
    <cfRule type="expression" dxfId="42" priority="39">
      <formula>AND(I115&lt;&gt;"",ISNUMBER(SEARCH("CUMPLE",I115)),NOT(ISNUMBER(SEARCH("NO CUMPLE",I115))),NOT(ISNUMBER(SEARCH("PARCIALMENTE",I115))))</formula>
    </cfRule>
  </conditionalFormatting>
  <conditionalFormatting sqref="I116:M116">
    <cfRule type="expression" dxfId="41" priority="34">
      <formula>AND(I116&lt;&gt;"",ISNUMBER(SEARCH("NO CUMPLE",I116)))</formula>
    </cfRule>
    <cfRule type="expression" dxfId="40" priority="35">
      <formula>AND(I116&lt;&gt;"",ISNUMBER(SEARCH("PARCIALMENTE",I116)))</formula>
    </cfRule>
    <cfRule type="expression" dxfId="39" priority="36">
      <formula>AND(I116&lt;&gt;"",ISNUMBER(SEARCH("CUMPLE",I116)),NOT(ISNUMBER(SEARCH("NO CUMPLE",I116))),NOT(ISNUMBER(SEARCH("PARCIALMENTE",I116))))</formula>
    </cfRule>
  </conditionalFormatting>
  <conditionalFormatting sqref="J117 L117:M117">
    <cfRule type="expression" dxfId="38" priority="31">
      <formula>AND(J117&lt;&gt;"",ISNUMBER(SEARCH("NO CUMPLE",J117)))</formula>
    </cfRule>
    <cfRule type="expression" dxfId="37" priority="32">
      <formula>AND(J117&lt;&gt;"",ISNUMBER(SEARCH("PARCIALMENTE",J117)))</formula>
    </cfRule>
    <cfRule type="expression" dxfId="36" priority="33">
      <formula>AND(J117&lt;&gt;"",ISNUMBER(SEARCH("CUMPLE",J117)),NOT(ISNUMBER(SEARCH("NO CUMPLE",J117))),NOT(ISNUMBER(SEARCH("PARCIALMENTE",J117))))</formula>
    </cfRule>
  </conditionalFormatting>
  <conditionalFormatting sqref="J118 L118:M118">
    <cfRule type="expression" dxfId="35" priority="28">
      <formula>AND(J118&lt;&gt;"",ISNUMBER(SEARCH("NO CUMPLE",J118)))</formula>
    </cfRule>
    <cfRule type="expression" dxfId="34" priority="29">
      <formula>AND(J118&lt;&gt;"",ISNUMBER(SEARCH("PARCIALMENTE",J118)))</formula>
    </cfRule>
    <cfRule type="expression" dxfId="33" priority="30">
      <formula>AND(J118&lt;&gt;"",ISNUMBER(SEARCH("CUMPLE",J118)),NOT(ISNUMBER(SEARCH("NO CUMPLE",J118))),NOT(ISNUMBER(SEARCH("PARCIALMENTE",J118))))</formula>
    </cfRule>
  </conditionalFormatting>
  <conditionalFormatting sqref="I117:I118">
    <cfRule type="expression" dxfId="32" priority="25">
      <formula>AND(I117&lt;&gt;"",ISNUMBER(SEARCH("NO CUMPLE",I117)))</formula>
    </cfRule>
    <cfRule type="expression" dxfId="31" priority="26">
      <formula>AND(I117&lt;&gt;"",ISNUMBER(SEARCH("PARCIALMENTE",I117)))</formula>
    </cfRule>
    <cfRule type="expression" dxfId="30" priority="27">
      <formula>AND(I117&lt;&gt;"",ISNUMBER(SEARCH("CUMPLE",I117)),NOT(ISNUMBER(SEARCH("NO CUMPLE",I117))),NOT(ISNUMBER(SEARCH("PARCIALMENTE",I117))))</formula>
    </cfRule>
  </conditionalFormatting>
  <conditionalFormatting sqref="K117">
    <cfRule type="expression" dxfId="29" priority="22">
      <formula>AND(K117&lt;&gt;"",ISNUMBER(SEARCH("NO CUMPLE",K117)))</formula>
    </cfRule>
    <cfRule type="expression" dxfId="28" priority="23">
      <formula>AND(K117&lt;&gt;"",ISNUMBER(SEARCH("PARCIALMENTE",K117)))</formula>
    </cfRule>
    <cfRule type="expression" dxfId="27" priority="24">
      <formula>AND(K117&lt;&gt;"",ISNUMBER(SEARCH("CUMPLE",K117)),NOT(ISNUMBER(SEARCH("NO CUMPLE",K117))),NOT(ISNUMBER(SEARCH("PARCIALMENTE",K117))))</formula>
    </cfRule>
  </conditionalFormatting>
  <conditionalFormatting sqref="K118">
    <cfRule type="expression" dxfId="26" priority="19">
      <formula>AND(K118&lt;&gt;"",ISNUMBER(SEARCH("NO CUMPLE",K118)))</formula>
    </cfRule>
    <cfRule type="expression" dxfId="25" priority="20">
      <formula>AND(K118&lt;&gt;"",ISNUMBER(SEARCH("PARCIALMENTE",K118)))</formula>
    </cfRule>
    <cfRule type="expression" dxfId="24" priority="21">
      <formula>AND(K118&lt;&gt;"",ISNUMBER(SEARCH("CUMPLE",K118)),NOT(ISNUMBER(SEARCH("NO CUMPLE",K118))),NOT(ISNUMBER(SEARCH("PARCIALMENTE",K118))))</formula>
    </cfRule>
  </conditionalFormatting>
  <conditionalFormatting sqref="I114">
    <cfRule type="expression" dxfId="23" priority="16">
      <formula>AND(I114&lt;&gt;"",ISNUMBER(SEARCH("NO CUMPLE",I114)))</formula>
    </cfRule>
    <cfRule type="expression" dxfId="22" priority="17">
      <formula>AND(I114&lt;&gt;"",ISNUMBER(SEARCH("PARCIALMENTE",I114)))</formula>
    </cfRule>
    <cfRule type="expression" dxfId="21" priority="18">
      <formula>AND(I114&lt;&gt;"",ISNUMBER(SEARCH("CUMPLE",I114)),NOT(ISNUMBER(SEARCH("NO CUMPLE",I114))),NOT(ISNUMBER(SEARCH("PARCIALMENTE",I114))))</formula>
    </cfRule>
  </conditionalFormatting>
  <conditionalFormatting sqref="I115">
    <cfRule type="expression" dxfId="20" priority="13">
      <formula>AND(I115&lt;&gt;"",ISNUMBER(SEARCH("NO CUMPLE",I115)))</formula>
    </cfRule>
    <cfRule type="expression" dxfId="19" priority="14">
      <formula>AND(I115&lt;&gt;"",ISNUMBER(SEARCH("PARCIALMENTE",I115)))</formula>
    </cfRule>
    <cfRule type="expression" dxfId="18" priority="15">
      <formula>AND(I115&lt;&gt;"",ISNUMBER(SEARCH("CUMPLE",I115)),NOT(ISNUMBER(SEARCH("NO CUMPLE",I115))),NOT(ISNUMBER(SEARCH("PARCIALMENTE",I115))))</formula>
    </cfRule>
  </conditionalFormatting>
  <conditionalFormatting sqref="I114">
    <cfRule type="expression" dxfId="17" priority="10">
      <formula>AND(I114&lt;&gt;"",ISNUMBER(SEARCH("NO CUMPLE",I114)))</formula>
    </cfRule>
    <cfRule type="expression" dxfId="16" priority="11">
      <formula>AND(I114&lt;&gt;"",ISNUMBER(SEARCH("PARCIALMENTE",I114)))</formula>
    </cfRule>
    <cfRule type="expression" dxfId="15" priority="12">
      <formula>AND(I114&lt;&gt;"",ISNUMBER(SEARCH("CUMPLE",I114)),NOT(ISNUMBER(SEARCH("NO CUMPLE",I114))),NOT(ISNUMBER(SEARCH("PARCIALMENTE",I114))))</formula>
    </cfRule>
  </conditionalFormatting>
  <conditionalFormatting sqref="I115">
    <cfRule type="expression" dxfId="14" priority="7">
      <formula>AND(I115&lt;&gt;"",ISNUMBER(SEARCH("NO CUMPLE",I115)))</formula>
    </cfRule>
    <cfRule type="expression" dxfId="13" priority="8">
      <formula>AND(I115&lt;&gt;"",ISNUMBER(SEARCH("PARCIALMENTE",I115)))</formula>
    </cfRule>
    <cfRule type="expression" dxfId="12" priority="9">
      <formula>AND(I115&lt;&gt;"",ISNUMBER(SEARCH("CUMPLE",I115)),NOT(ISNUMBER(SEARCH("NO CUMPLE",I115))),NOT(ISNUMBER(SEARCH("PARCIALMENTE",I115))))</formula>
    </cfRule>
  </conditionalFormatting>
  <conditionalFormatting sqref="I116">
    <cfRule type="expression" dxfId="11" priority="4">
      <formula>AND(I116&lt;&gt;"",ISNUMBER(SEARCH("NO CUMPLE",I116)))</formula>
    </cfRule>
    <cfRule type="expression" dxfId="10" priority="5">
      <formula>AND(I116&lt;&gt;"",ISNUMBER(SEARCH("PARCIALMENTE",I116)))</formula>
    </cfRule>
    <cfRule type="expression" dxfId="9" priority="6">
      <formula>AND(I116&lt;&gt;"",ISNUMBER(SEARCH("CUMPLE",I116)),NOT(ISNUMBER(SEARCH("NO CUMPLE",I116))),NOT(ISNUMBER(SEARCH("PARCIALMENTE",I116))))</formula>
    </cfRule>
  </conditionalFormatting>
  <conditionalFormatting sqref="I117:I118">
    <cfRule type="expression" dxfId="8" priority="1">
      <formula>AND(I117&lt;&gt;"",ISNUMBER(SEARCH("NO CUMPLE",I117)))</formula>
    </cfRule>
    <cfRule type="expression" dxfId="7" priority="2">
      <formula>AND(I117&lt;&gt;"",ISNUMBER(SEARCH("PARCIALMENTE",I117)))</formula>
    </cfRule>
    <cfRule type="expression" dxfId="6" priority="3">
      <formula>AND(I117&lt;&gt;"",ISNUMBER(SEARCH("CUMPLE",I117)),NOT(ISNUMBER(SEARCH("NO CUMPLE",I117))),NOT(ISNUMBER(SEARCH("PARCIALMENTE",I117))))</formula>
    </cfRule>
  </conditionalFormatting>
  <dataValidations count="2">
    <dataValidation type="list" allowBlank="1" sqref="I6:M118" xr:uid="{00000000-0002-0000-0200-000000000000}">
      <formula1>"✔ CUMPLE,⚠ CUMPLE PARCIALMENTE,✘ NO CUMPLE,N/A"</formula1>
    </dataValidation>
    <dataValidation type="list" allowBlank="1" sqref="Q6:Q118" xr:uid="{00000000-0002-0000-0200-000001000000}">
      <formula1>"SIN NOVEDAD,SEGUIMIENTO,ALERTA"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EE7C5-66D5-4A3D-9E34-4402AB34C819}">
  <dimension ref="A1:E110"/>
  <sheetViews>
    <sheetView topLeftCell="A85" workbookViewId="0">
      <selection activeCell="A2" sqref="A2:A110"/>
    </sheetView>
  </sheetViews>
  <sheetFormatPr baseColWidth="10" defaultRowHeight="14.4" x14ac:dyDescent="0.3"/>
  <cols>
    <col min="1" max="1" width="50" bestFit="1" customWidth="1"/>
    <col min="2" max="2" width="39.5546875" bestFit="1" customWidth="1"/>
    <col min="3" max="3" width="45.44140625" bestFit="1" customWidth="1"/>
    <col min="4" max="4" width="50.109375" bestFit="1" customWidth="1"/>
  </cols>
  <sheetData>
    <row r="1" spans="1:5" x14ac:dyDescent="0.3">
      <c r="A1" s="74" t="s">
        <v>54</v>
      </c>
      <c r="B1" s="74" t="s">
        <v>461</v>
      </c>
      <c r="C1" s="74" t="s">
        <v>53</v>
      </c>
      <c r="D1" s="74" t="s">
        <v>52</v>
      </c>
      <c r="E1" s="74" t="s">
        <v>55</v>
      </c>
    </row>
    <row r="2" spans="1:5" x14ac:dyDescent="0.3">
      <c r="A2" t="s">
        <v>479</v>
      </c>
      <c r="B2" t="s">
        <v>41</v>
      </c>
      <c r="C2" t="s">
        <v>94</v>
      </c>
      <c r="D2" t="s">
        <v>100</v>
      </c>
      <c r="E2" t="s">
        <v>503</v>
      </c>
    </row>
    <row r="3" spans="1:5" x14ac:dyDescent="0.3">
      <c r="A3" t="s">
        <v>479</v>
      </c>
      <c r="B3" t="s">
        <v>41</v>
      </c>
      <c r="C3" t="s">
        <v>94</v>
      </c>
      <c r="D3" t="s">
        <v>481</v>
      </c>
      <c r="E3" t="s">
        <v>504</v>
      </c>
    </row>
    <row r="4" spans="1:5" x14ac:dyDescent="0.3">
      <c r="A4" t="s">
        <v>479</v>
      </c>
      <c r="B4" t="s">
        <v>41</v>
      </c>
      <c r="C4" t="s">
        <v>94</v>
      </c>
      <c r="D4" s="68" t="s">
        <v>101</v>
      </c>
      <c r="E4" t="s">
        <v>505</v>
      </c>
    </row>
    <row r="5" spans="1:5" x14ac:dyDescent="0.3">
      <c r="A5" t="s">
        <v>479</v>
      </c>
      <c r="B5" t="s">
        <v>41</v>
      </c>
      <c r="C5" t="s">
        <v>94</v>
      </c>
      <c r="D5" s="68" t="s">
        <v>100</v>
      </c>
      <c r="E5" t="s">
        <v>506</v>
      </c>
    </row>
    <row r="6" spans="1:5" x14ac:dyDescent="0.3">
      <c r="A6" s="75" t="s">
        <v>112</v>
      </c>
      <c r="B6" t="s">
        <v>79</v>
      </c>
      <c r="C6" s="75" t="s">
        <v>98</v>
      </c>
      <c r="D6" s="75" t="s">
        <v>107</v>
      </c>
      <c r="E6" t="s">
        <v>108</v>
      </c>
    </row>
    <row r="7" spans="1:5" x14ac:dyDescent="0.3">
      <c r="A7" s="75" t="s">
        <v>112</v>
      </c>
      <c r="B7" t="s">
        <v>79</v>
      </c>
      <c r="C7" s="75" t="s">
        <v>98</v>
      </c>
      <c r="D7" s="75" t="s">
        <v>107</v>
      </c>
      <c r="E7" t="s">
        <v>507</v>
      </c>
    </row>
    <row r="8" spans="1:5" x14ac:dyDescent="0.3">
      <c r="A8" s="75" t="s">
        <v>112</v>
      </c>
      <c r="B8" t="s">
        <v>79</v>
      </c>
      <c r="C8" s="75" t="s">
        <v>98</v>
      </c>
      <c r="D8" s="75" t="s">
        <v>107</v>
      </c>
      <c r="E8" t="s">
        <v>508</v>
      </c>
    </row>
    <row r="9" spans="1:5" x14ac:dyDescent="0.3">
      <c r="A9" s="75" t="s">
        <v>112</v>
      </c>
      <c r="B9" t="s">
        <v>79</v>
      </c>
      <c r="C9" s="75" t="s">
        <v>98</v>
      </c>
      <c r="D9" s="75" t="s">
        <v>107</v>
      </c>
      <c r="E9" t="s">
        <v>509</v>
      </c>
    </row>
    <row r="10" spans="1:5" x14ac:dyDescent="0.3">
      <c r="A10" s="68" t="s">
        <v>112</v>
      </c>
      <c r="B10" t="s">
        <v>79</v>
      </c>
      <c r="C10" s="68" t="s">
        <v>110</v>
      </c>
      <c r="D10" s="68" t="s">
        <v>111</v>
      </c>
      <c r="E10" t="s">
        <v>510</v>
      </c>
    </row>
    <row r="11" spans="1:5" x14ac:dyDescent="0.3">
      <c r="A11" s="68" t="s">
        <v>112</v>
      </c>
      <c r="B11" t="s">
        <v>79</v>
      </c>
      <c r="C11" s="68" t="s">
        <v>110</v>
      </c>
      <c r="D11" s="68" t="s">
        <v>111</v>
      </c>
      <c r="E11" s="76" t="s">
        <v>113</v>
      </c>
    </row>
    <row r="12" spans="1:5" x14ac:dyDescent="0.3">
      <c r="A12" s="68" t="s">
        <v>112</v>
      </c>
      <c r="B12" t="s">
        <v>79</v>
      </c>
      <c r="C12" s="68" t="s">
        <v>110</v>
      </c>
      <c r="D12" s="68" t="s">
        <v>111</v>
      </c>
      <c r="E12" t="s">
        <v>511</v>
      </c>
    </row>
    <row r="13" spans="1:5" x14ac:dyDescent="0.3">
      <c r="A13" s="68" t="s">
        <v>112</v>
      </c>
      <c r="B13" t="s">
        <v>79</v>
      </c>
      <c r="C13" s="68" t="s">
        <v>110</v>
      </c>
      <c r="D13" s="68" t="s">
        <v>111</v>
      </c>
      <c r="E13" t="s">
        <v>564</v>
      </c>
    </row>
    <row r="14" spans="1:5" x14ac:dyDescent="0.3">
      <c r="A14" s="68" t="s">
        <v>112</v>
      </c>
      <c r="B14" t="s">
        <v>79</v>
      </c>
      <c r="C14" s="68" t="s">
        <v>110</v>
      </c>
      <c r="D14" s="68" t="s">
        <v>111</v>
      </c>
      <c r="E14" t="s">
        <v>565</v>
      </c>
    </row>
    <row r="15" spans="1:5" x14ac:dyDescent="0.3">
      <c r="A15" s="68" t="s">
        <v>112</v>
      </c>
      <c r="B15" t="s">
        <v>79</v>
      </c>
      <c r="C15" s="68" t="s">
        <v>110</v>
      </c>
      <c r="D15" s="68" t="s">
        <v>111</v>
      </c>
      <c r="E15" t="s">
        <v>512</v>
      </c>
    </row>
    <row r="16" spans="1:5" x14ac:dyDescent="0.3">
      <c r="A16" s="68" t="s">
        <v>112</v>
      </c>
      <c r="B16" t="s">
        <v>79</v>
      </c>
      <c r="C16" s="68" t="s">
        <v>83</v>
      </c>
      <c r="D16" s="68" t="s">
        <v>84</v>
      </c>
      <c r="E16" t="s">
        <v>568</v>
      </c>
    </row>
    <row r="17" spans="1:5" x14ac:dyDescent="0.3">
      <c r="A17" s="68" t="s">
        <v>112</v>
      </c>
      <c r="B17" t="s">
        <v>79</v>
      </c>
      <c r="C17" s="68" t="s">
        <v>83</v>
      </c>
      <c r="D17" s="68" t="s">
        <v>84</v>
      </c>
      <c r="E17" t="s">
        <v>569</v>
      </c>
    </row>
    <row r="18" spans="1:5" x14ac:dyDescent="0.3">
      <c r="A18" s="68" t="s">
        <v>112</v>
      </c>
      <c r="B18" t="s">
        <v>79</v>
      </c>
      <c r="C18" s="68" t="s">
        <v>83</v>
      </c>
      <c r="D18" s="68" t="s">
        <v>84</v>
      </c>
      <c r="E18" t="s">
        <v>570</v>
      </c>
    </row>
    <row r="19" spans="1:5" x14ac:dyDescent="0.3">
      <c r="A19" s="68" t="s">
        <v>112</v>
      </c>
      <c r="B19" t="s">
        <v>79</v>
      </c>
      <c r="C19" s="68" t="s">
        <v>83</v>
      </c>
      <c r="D19" s="68" t="s">
        <v>84</v>
      </c>
      <c r="E19" t="s">
        <v>571</v>
      </c>
    </row>
    <row r="20" spans="1:5" x14ac:dyDescent="0.3">
      <c r="A20" s="68" t="s">
        <v>112</v>
      </c>
      <c r="B20" t="s">
        <v>79</v>
      </c>
      <c r="C20" s="68" t="s">
        <v>83</v>
      </c>
      <c r="D20" s="68" t="s">
        <v>84</v>
      </c>
      <c r="E20" t="s">
        <v>513</v>
      </c>
    </row>
    <row r="21" spans="1:5" x14ac:dyDescent="0.3">
      <c r="A21" s="68" t="s">
        <v>112</v>
      </c>
      <c r="B21" t="s">
        <v>79</v>
      </c>
      <c r="C21" s="68" t="s">
        <v>83</v>
      </c>
      <c r="D21" s="68" t="s">
        <v>84</v>
      </c>
      <c r="E21" t="s">
        <v>572</v>
      </c>
    </row>
    <row r="22" spans="1:5" x14ac:dyDescent="0.3">
      <c r="A22" s="68" t="s">
        <v>112</v>
      </c>
      <c r="B22" t="s">
        <v>79</v>
      </c>
      <c r="C22" s="68" t="s">
        <v>83</v>
      </c>
      <c r="D22" s="68" t="s">
        <v>84</v>
      </c>
      <c r="E22" t="s">
        <v>514</v>
      </c>
    </row>
    <row r="23" spans="1:5" x14ac:dyDescent="0.3">
      <c r="A23" s="68" t="s">
        <v>112</v>
      </c>
      <c r="B23" t="s">
        <v>79</v>
      </c>
      <c r="C23" s="68" t="s">
        <v>80</v>
      </c>
      <c r="D23" s="68" t="s">
        <v>80</v>
      </c>
      <c r="E23" t="s">
        <v>215</v>
      </c>
    </row>
    <row r="24" spans="1:5" x14ac:dyDescent="0.3">
      <c r="A24" s="68" t="s">
        <v>112</v>
      </c>
      <c r="B24" t="s">
        <v>79</v>
      </c>
      <c r="C24" s="68" t="s">
        <v>80</v>
      </c>
      <c r="D24" s="68" t="s">
        <v>80</v>
      </c>
      <c r="E24" t="s">
        <v>515</v>
      </c>
    </row>
    <row r="25" spans="1:5" x14ac:dyDescent="0.3">
      <c r="A25" s="68" t="s">
        <v>112</v>
      </c>
      <c r="B25" t="s">
        <v>79</v>
      </c>
      <c r="C25" s="68" t="s">
        <v>80</v>
      </c>
      <c r="D25" s="68" t="s">
        <v>80</v>
      </c>
      <c r="E25" t="s">
        <v>216</v>
      </c>
    </row>
    <row r="26" spans="1:5" x14ac:dyDescent="0.3">
      <c r="A26" s="68" t="s">
        <v>112</v>
      </c>
      <c r="B26" t="s">
        <v>79</v>
      </c>
      <c r="C26" s="72" t="s">
        <v>110</v>
      </c>
      <c r="D26" s="72" t="s">
        <v>141</v>
      </c>
      <c r="E26" t="s">
        <v>516</v>
      </c>
    </row>
    <row r="27" spans="1:5" x14ac:dyDescent="0.3">
      <c r="A27" s="68" t="s">
        <v>112</v>
      </c>
      <c r="B27" t="s">
        <v>79</v>
      </c>
      <c r="C27" s="72" t="s">
        <v>110</v>
      </c>
      <c r="D27" s="72" t="s">
        <v>141</v>
      </c>
      <c r="E27" t="s">
        <v>517</v>
      </c>
    </row>
    <row r="28" spans="1:5" x14ac:dyDescent="0.3">
      <c r="A28" s="68" t="s">
        <v>112</v>
      </c>
      <c r="B28" t="s">
        <v>79</v>
      </c>
      <c r="C28" s="72" t="s">
        <v>110</v>
      </c>
      <c r="D28" s="72" t="s">
        <v>141</v>
      </c>
      <c r="E28" t="s">
        <v>518</v>
      </c>
    </row>
    <row r="29" spans="1:5" x14ac:dyDescent="0.3">
      <c r="A29" s="68" t="s">
        <v>112</v>
      </c>
      <c r="B29" t="s">
        <v>79</v>
      </c>
      <c r="C29" s="68" t="s">
        <v>81</v>
      </c>
      <c r="D29" s="68" t="s">
        <v>82</v>
      </c>
      <c r="E29" t="s">
        <v>519</v>
      </c>
    </row>
    <row r="30" spans="1:5" x14ac:dyDescent="0.3">
      <c r="A30" s="68" t="s">
        <v>112</v>
      </c>
      <c r="B30" t="s">
        <v>79</v>
      </c>
      <c r="C30" s="68" t="s">
        <v>81</v>
      </c>
      <c r="D30" s="68" t="s">
        <v>82</v>
      </c>
      <c r="E30" t="s">
        <v>520</v>
      </c>
    </row>
    <row r="31" spans="1:5" x14ac:dyDescent="0.3">
      <c r="A31" s="68" t="s">
        <v>112</v>
      </c>
      <c r="B31" t="s">
        <v>79</v>
      </c>
      <c r="C31" s="68" t="s">
        <v>81</v>
      </c>
      <c r="D31" s="68" t="s">
        <v>82</v>
      </c>
      <c r="E31" t="s">
        <v>521</v>
      </c>
    </row>
    <row r="32" spans="1:5" x14ac:dyDescent="0.3">
      <c r="A32" s="68" t="s">
        <v>112</v>
      </c>
      <c r="B32" t="s">
        <v>79</v>
      </c>
      <c r="C32" s="68" t="s">
        <v>81</v>
      </c>
      <c r="D32" s="68" t="s">
        <v>82</v>
      </c>
      <c r="E32" t="s">
        <v>522</v>
      </c>
    </row>
    <row r="33" spans="1:5" x14ac:dyDescent="0.3">
      <c r="A33" s="68" t="s">
        <v>112</v>
      </c>
      <c r="B33" t="s">
        <v>79</v>
      </c>
      <c r="C33" s="68" t="s">
        <v>81</v>
      </c>
      <c r="D33" s="68" t="s">
        <v>87</v>
      </c>
      <c r="E33" t="s">
        <v>217</v>
      </c>
    </row>
    <row r="34" spans="1:5" x14ac:dyDescent="0.3">
      <c r="A34" s="68" t="s">
        <v>112</v>
      </c>
      <c r="B34" t="s">
        <v>79</v>
      </c>
      <c r="C34" s="68" t="s">
        <v>81</v>
      </c>
      <c r="D34" s="68" t="s">
        <v>87</v>
      </c>
      <c r="E34" t="s">
        <v>218</v>
      </c>
    </row>
    <row r="35" spans="1:5" x14ac:dyDescent="0.3">
      <c r="A35" s="68" t="s">
        <v>112</v>
      </c>
      <c r="B35" t="s">
        <v>79</v>
      </c>
      <c r="C35" s="68" t="s">
        <v>81</v>
      </c>
      <c r="D35" s="68" t="s">
        <v>105</v>
      </c>
      <c r="E35" t="s">
        <v>523</v>
      </c>
    </row>
    <row r="36" spans="1:5" x14ac:dyDescent="0.3">
      <c r="A36" s="70" t="s">
        <v>112</v>
      </c>
      <c r="B36" t="s">
        <v>79</v>
      </c>
      <c r="C36" s="75" t="s">
        <v>98</v>
      </c>
      <c r="D36" s="68" t="s">
        <v>120</v>
      </c>
      <c r="E36" t="s">
        <v>524</v>
      </c>
    </row>
    <row r="37" spans="1:5" x14ac:dyDescent="0.3">
      <c r="A37" s="70" t="s">
        <v>112</v>
      </c>
      <c r="B37" t="s">
        <v>79</v>
      </c>
      <c r="C37" s="75" t="s">
        <v>98</v>
      </c>
      <c r="D37" s="68" t="s">
        <v>120</v>
      </c>
      <c r="E37" t="s">
        <v>525</v>
      </c>
    </row>
    <row r="38" spans="1:5" x14ac:dyDescent="0.3">
      <c r="A38" s="68" t="s">
        <v>112</v>
      </c>
      <c r="B38" t="s">
        <v>79</v>
      </c>
      <c r="C38" s="68" t="s">
        <v>98</v>
      </c>
      <c r="D38" s="68" t="s">
        <v>99</v>
      </c>
      <c r="E38" t="s">
        <v>526</v>
      </c>
    </row>
    <row r="39" spans="1:5" x14ac:dyDescent="0.3">
      <c r="A39" s="68" t="s">
        <v>112</v>
      </c>
      <c r="B39" t="s">
        <v>79</v>
      </c>
      <c r="C39" s="68" t="s">
        <v>98</v>
      </c>
      <c r="D39" s="68" t="s">
        <v>143</v>
      </c>
      <c r="E39" t="s">
        <v>527</v>
      </c>
    </row>
    <row r="40" spans="1:5" x14ac:dyDescent="0.3">
      <c r="A40" s="68" t="s">
        <v>112</v>
      </c>
      <c r="B40" t="s">
        <v>79</v>
      </c>
      <c r="C40" s="68" t="s">
        <v>98</v>
      </c>
      <c r="D40" s="68" t="s">
        <v>143</v>
      </c>
      <c r="E40" t="s">
        <v>528</v>
      </c>
    </row>
    <row r="41" spans="1:5" x14ac:dyDescent="0.3">
      <c r="A41" s="68" t="s">
        <v>474</v>
      </c>
      <c r="B41" t="s">
        <v>131</v>
      </c>
      <c r="C41" s="68" t="s">
        <v>473</v>
      </c>
      <c r="D41" s="68" t="s">
        <v>132</v>
      </c>
      <c r="E41" t="s">
        <v>529</v>
      </c>
    </row>
    <row r="42" spans="1:5" x14ac:dyDescent="0.3">
      <c r="A42" s="68" t="s">
        <v>474</v>
      </c>
      <c r="B42" t="s">
        <v>73</v>
      </c>
      <c r="C42" s="68" t="s">
        <v>88</v>
      </c>
      <c r="D42" s="68" t="s">
        <v>102</v>
      </c>
      <c r="E42" t="s">
        <v>530</v>
      </c>
    </row>
    <row r="43" spans="1:5" x14ac:dyDescent="0.3">
      <c r="A43" s="68" t="s">
        <v>474</v>
      </c>
      <c r="B43" t="s">
        <v>73</v>
      </c>
      <c r="C43" s="68" t="s">
        <v>125</v>
      </c>
      <c r="D43" s="68" t="s">
        <v>125</v>
      </c>
      <c r="E43" t="s">
        <v>531</v>
      </c>
    </row>
    <row r="44" spans="1:5" x14ac:dyDescent="0.3">
      <c r="A44" s="68" t="s">
        <v>474</v>
      </c>
      <c r="B44" t="s">
        <v>131</v>
      </c>
      <c r="C44" s="68" t="s">
        <v>473</v>
      </c>
      <c r="D44" s="68" t="s">
        <v>138</v>
      </c>
      <c r="E44" t="s">
        <v>532</v>
      </c>
    </row>
    <row r="45" spans="1:5" x14ac:dyDescent="0.3">
      <c r="A45" s="68" t="s">
        <v>474</v>
      </c>
      <c r="B45" t="s">
        <v>131</v>
      </c>
      <c r="C45" s="68" t="s">
        <v>473</v>
      </c>
      <c r="D45" s="68" t="s">
        <v>138</v>
      </c>
      <c r="E45" t="s">
        <v>221</v>
      </c>
    </row>
    <row r="46" spans="1:5" x14ac:dyDescent="0.3">
      <c r="A46" s="68" t="s">
        <v>474</v>
      </c>
      <c r="B46" t="s">
        <v>131</v>
      </c>
      <c r="C46" s="68" t="s">
        <v>473</v>
      </c>
      <c r="D46" s="68" t="s">
        <v>138</v>
      </c>
      <c r="E46" t="s">
        <v>533</v>
      </c>
    </row>
    <row r="47" spans="1:5" x14ac:dyDescent="0.3">
      <c r="A47" s="68" t="s">
        <v>474</v>
      </c>
      <c r="B47" t="s">
        <v>70</v>
      </c>
      <c r="C47" s="68" t="s">
        <v>133</v>
      </c>
      <c r="D47" s="68" t="s">
        <v>135</v>
      </c>
      <c r="E47" t="s">
        <v>534</v>
      </c>
    </row>
    <row r="48" spans="1:5" x14ac:dyDescent="0.3">
      <c r="A48" s="68" t="s">
        <v>474</v>
      </c>
      <c r="B48" t="s">
        <v>70</v>
      </c>
      <c r="C48" s="68" t="s">
        <v>133</v>
      </c>
      <c r="D48" s="68" t="s">
        <v>140</v>
      </c>
      <c r="E48" t="s">
        <v>535</v>
      </c>
    </row>
    <row r="49" spans="1:5" x14ac:dyDescent="0.3">
      <c r="A49" s="68" t="s">
        <v>474</v>
      </c>
      <c r="B49" t="s">
        <v>79</v>
      </c>
      <c r="C49" s="68" t="s">
        <v>133</v>
      </c>
      <c r="D49" s="68" t="s">
        <v>134</v>
      </c>
      <c r="E49" t="s">
        <v>536</v>
      </c>
    </row>
    <row r="50" spans="1:5" x14ac:dyDescent="0.3">
      <c r="A50" s="68" t="s">
        <v>478</v>
      </c>
      <c r="B50" t="s">
        <v>131</v>
      </c>
      <c r="C50" s="68" t="s">
        <v>473</v>
      </c>
      <c r="D50" s="68" t="s">
        <v>139</v>
      </c>
      <c r="E50" t="s">
        <v>537</v>
      </c>
    </row>
    <row r="51" spans="1:5" x14ac:dyDescent="0.3">
      <c r="A51" s="68" t="s">
        <v>478</v>
      </c>
      <c r="B51" t="s">
        <v>131</v>
      </c>
      <c r="C51" s="68" t="s">
        <v>473</v>
      </c>
      <c r="D51" s="68" t="s">
        <v>139</v>
      </c>
      <c r="E51" t="s">
        <v>538</v>
      </c>
    </row>
    <row r="52" spans="1:5" x14ac:dyDescent="0.3">
      <c r="A52" s="68" t="s">
        <v>478</v>
      </c>
      <c r="B52" t="s">
        <v>131</v>
      </c>
      <c r="C52" s="68" t="s">
        <v>473</v>
      </c>
      <c r="D52" s="68" t="s">
        <v>139</v>
      </c>
      <c r="E52" t="s">
        <v>539</v>
      </c>
    </row>
    <row r="53" spans="1:5" x14ac:dyDescent="0.3">
      <c r="A53" s="68" t="s">
        <v>478</v>
      </c>
      <c r="B53" t="s">
        <v>131</v>
      </c>
      <c r="C53" s="68" t="s">
        <v>473</v>
      </c>
      <c r="D53" s="68" t="s">
        <v>139</v>
      </c>
      <c r="E53" t="s">
        <v>540</v>
      </c>
    </row>
    <row r="54" spans="1:5" x14ac:dyDescent="0.3">
      <c r="A54" s="68" t="s">
        <v>475</v>
      </c>
      <c r="B54" t="s">
        <v>73</v>
      </c>
      <c r="C54" s="68" t="s">
        <v>109</v>
      </c>
      <c r="D54" s="68" t="s">
        <v>109</v>
      </c>
      <c r="E54" t="s">
        <v>541</v>
      </c>
    </row>
    <row r="55" spans="1:5" x14ac:dyDescent="0.3">
      <c r="A55" s="68" t="s">
        <v>475</v>
      </c>
      <c r="B55" t="s">
        <v>73</v>
      </c>
      <c r="C55" s="68" t="s">
        <v>109</v>
      </c>
      <c r="D55" s="68" t="s">
        <v>109</v>
      </c>
      <c r="E55" t="s">
        <v>542</v>
      </c>
    </row>
    <row r="56" spans="1:5" x14ac:dyDescent="0.3">
      <c r="A56" s="68" t="s">
        <v>475</v>
      </c>
      <c r="B56" t="s">
        <v>73</v>
      </c>
      <c r="C56" s="68" t="s">
        <v>109</v>
      </c>
      <c r="D56" s="68" t="s">
        <v>109</v>
      </c>
      <c r="E56" t="s">
        <v>543</v>
      </c>
    </row>
    <row r="57" spans="1:5" x14ac:dyDescent="0.3">
      <c r="A57" s="68" t="s">
        <v>475</v>
      </c>
      <c r="B57" t="s">
        <v>73</v>
      </c>
      <c r="C57" s="68" t="s">
        <v>88</v>
      </c>
      <c r="D57" s="68" t="s">
        <v>96</v>
      </c>
      <c r="E57" t="s">
        <v>96</v>
      </c>
    </row>
    <row r="58" spans="1:5" x14ac:dyDescent="0.3">
      <c r="A58" s="68" t="s">
        <v>475</v>
      </c>
      <c r="B58" t="s">
        <v>73</v>
      </c>
      <c r="C58" s="68" t="s">
        <v>88</v>
      </c>
      <c r="D58" s="68" t="s">
        <v>89</v>
      </c>
      <c r="E58" t="s">
        <v>544</v>
      </c>
    </row>
    <row r="59" spans="1:5" x14ac:dyDescent="0.3">
      <c r="A59" s="68" t="s">
        <v>475</v>
      </c>
      <c r="B59" t="s">
        <v>73</v>
      </c>
      <c r="C59" s="68" t="s">
        <v>88</v>
      </c>
      <c r="D59" s="68" t="s">
        <v>89</v>
      </c>
      <c r="E59" t="s">
        <v>545</v>
      </c>
    </row>
    <row r="60" spans="1:5" x14ac:dyDescent="0.3">
      <c r="A60" s="68" t="s">
        <v>475</v>
      </c>
      <c r="B60" t="s">
        <v>73</v>
      </c>
      <c r="C60" s="68" t="s">
        <v>472</v>
      </c>
      <c r="D60" s="68" t="s">
        <v>116</v>
      </c>
      <c r="E60" t="s">
        <v>546</v>
      </c>
    </row>
    <row r="61" spans="1:5" x14ac:dyDescent="0.3">
      <c r="A61" s="68" t="s">
        <v>475</v>
      </c>
      <c r="B61" t="s">
        <v>73</v>
      </c>
      <c r="C61" s="68" t="s">
        <v>472</v>
      </c>
      <c r="D61" s="68" t="s">
        <v>116</v>
      </c>
      <c r="E61" t="s">
        <v>547</v>
      </c>
    </row>
    <row r="62" spans="1:5" x14ac:dyDescent="0.3">
      <c r="A62" s="68" t="s">
        <v>475</v>
      </c>
      <c r="B62" t="s">
        <v>73</v>
      </c>
      <c r="C62" s="68" t="s">
        <v>472</v>
      </c>
      <c r="D62" s="68" t="s">
        <v>119</v>
      </c>
      <c r="E62" t="s">
        <v>548</v>
      </c>
    </row>
    <row r="63" spans="1:5" x14ac:dyDescent="0.3">
      <c r="A63" s="68" t="s">
        <v>477</v>
      </c>
      <c r="B63" t="s">
        <v>41</v>
      </c>
      <c r="C63" s="68" t="s">
        <v>94</v>
      </c>
      <c r="D63" s="68" t="s">
        <v>481</v>
      </c>
      <c r="E63" t="s">
        <v>489</v>
      </c>
    </row>
    <row r="64" spans="1:5" x14ac:dyDescent="0.3">
      <c r="A64" s="68" t="s">
        <v>477</v>
      </c>
      <c r="B64" t="s">
        <v>41</v>
      </c>
      <c r="C64" s="68" t="s">
        <v>94</v>
      </c>
      <c r="D64" s="68" t="s">
        <v>100</v>
      </c>
      <c r="E64" t="s">
        <v>490</v>
      </c>
    </row>
    <row r="65" spans="1:5" x14ac:dyDescent="0.3">
      <c r="A65" s="68" t="s">
        <v>477</v>
      </c>
      <c r="B65" t="s">
        <v>41</v>
      </c>
      <c r="C65" s="68" t="s">
        <v>94</v>
      </c>
      <c r="D65" s="68" t="s">
        <v>100</v>
      </c>
      <c r="E65" t="s">
        <v>549</v>
      </c>
    </row>
    <row r="66" spans="1:5" x14ac:dyDescent="0.3">
      <c r="A66" s="68" t="s">
        <v>477</v>
      </c>
      <c r="B66" t="s">
        <v>41</v>
      </c>
      <c r="C66" s="68" t="s">
        <v>94</v>
      </c>
      <c r="D66" s="68" t="s">
        <v>100</v>
      </c>
      <c r="E66" t="s">
        <v>550</v>
      </c>
    </row>
    <row r="67" spans="1:5" x14ac:dyDescent="0.3">
      <c r="A67" s="68" t="s">
        <v>477</v>
      </c>
      <c r="B67" t="s">
        <v>41</v>
      </c>
      <c r="C67" s="68" t="s">
        <v>470</v>
      </c>
      <c r="D67" s="68" t="s">
        <v>93</v>
      </c>
      <c r="E67" t="s">
        <v>551</v>
      </c>
    </row>
    <row r="68" spans="1:5" x14ac:dyDescent="0.3">
      <c r="A68" s="68" t="s">
        <v>477</v>
      </c>
      <c r="B68" t="s">
        <v>41</v>
      </c>
      <c r="C68" s="68" t="s">
        <v>468</v>
      </c>
      <c r="D68" s="68" t="s">
        <v>75</v>
      </c>
      <c r="E68" t="s">
        <v>552</v>
      </c>
    </row>
    <row r="69" spans="1:5" x14ac:dyDescent="0.3">
      <c r="A69" s="68" t="s">
        <v>477</v>
      </c>
      <c r="B69" t="s">
        <v>103</v>
      </c>
      <c r="C69" s="68" t="s">
        <v>104</v>
      </c>
      <c r="D69" s="68" t="s">
        <v>104</v>
      </c>
      <c r="E69" t="s">
        <v>491</v>
      </c>
    </row>
    <row r="70" spans="1:5" x14ac:dyDescent="0.3">
      <c r="A70" s="68" t="s">
        <v>477</v>
      </c>
      <c r="B70" t="s">
        <v>70</v>
      </c>
      <c r="C70" s="68" t="s">
        <v>71</v>
      </c>
      <c r="D70" s="68" t="s">
        <v>71</v>
      </c>
      <c r="E70" t="s">
        <v>553</v>
      </c>
    </row>
    <row r="71" spans="1:5" x14ac:dyDescent="0.3">
      <c r="A71" s="68" t="s">
        <v>477</v>
      </c>
      <c r="B71" t="s">
        <v>70</v>
      </c>
      <c r="C71" s="68" t="s">
        <v>71</v>
      </c>
      <c r="D71" s="68" t="s">
        <v>71</v>
      </c>
      <c r="E71" t="s">
        <v>554</v>
      </c>
    </row>
    <row r="72" spans="1:5" x14ac:dyDescent="0.3">
      <c r="A72" s="68" t="s">
        <v>477</v>
      </c>
      <c r="B72" t="s">
        <v>70</v>
      </c>
      <c r="C72" s="68" t="s">
        <v>71</v>
      </c>
      <c r="D72" s="68" t="s">
        <v>71</v>
      </c>
      <c r="E72" t="s">
        <v>492</v>
      </c>
    </row>
    <row r="73" spans="1:5" x14ac:dyDescent="0.3">
      <c r="A73" s="68" t="s">
        <v>477</v>
      </c>
      <c r="B73" t="s">
        <v>70</v>
      </c>
      <c r="C73" s="68" t="s">
        <v>71</v>
      </c>
      <c r="D73" s="68" t="s">
        <v>71</v>
      </c>
      <c r="E73" t="s">
        <v>493</v>
      </c>
    </row>
    <row r="74" spans="1:5" x14ac:dyDescent="0.3">
      <c r="A74" s="68" t="s">
        <v>477</v>
      </c>
      <c r="B74" t="s">
        <v>70</v>
      </c>
      <c r="C74" s="68" t="s">
        <v>71</v>
      </c>
      <c r="D74" s="68" t="s">
        <v>71</v>
      </c>
      <c r="E74" t="s">
        <v>494</v>
      </c>
    </row>
    <row r="75" spans="1:5" x14ac:dyDescent="0.3">
      <c r="A75" s="68" t="s">
        <v>477</v>
      </c>
      <c r="B75" t="s">
        <v>70</v>
      </c>
      <c r="C75" s="68" t="s">
        <v>71</v>
      </c>
      <c r="D75" s="68" t="s">
        <v>71</v>
      </c>
      <c r="E75" t="s">
        <v>555</v>
      </c>
    </row>
    <row r="76" spans="1:5" x14ac:dyDescent="0.3">
      <c r="A76" s="68" t="s">
        <v>477</v>
      </c>
      <c r="B76" t="s">
        <v>70</v>
      </c>
      <c r="C76" s="68" t="s">
        <v>71</v>
      </c>
      <c r="D76" s="68" t="s">
        <v>71</v>
      </c>
      <c r="E76" t="s">
        <v>556</v>
      </c>
    </row>
    <row r="77" spans="1:5" x14ac:dyDescent="0.3">
      <c r="A77" s="68" t="s">
        <v>477</v>
      </c>
      <c r="B77" t="s">
        <v>70</v>
      </c>
      <c r="C77" s="68" t="s">
        <v>76</v>
      </c>
      <c r="D77" s="68" t="s">
        <v>76</v>
      </c>
      <c r="E77" t="s">
        <v>409</v>
      </c>
    </row>
    <row r="78" spans="1:5" x14ac:dyDescent="0.3">
      <c r="A78" s="68" t="s">
        <v>477</v>
      </c>
      <c r="B78" t="s">
        <v>70</v>
      </c>
      <c r="C78" s="68" t="s">
        <v>76</v>
      </c>
      <c r="D78" s="68" t="s">
        <v>76</v>
      </c>
      <c r="E78" t="s">
        <v>224</v>
      </c>
    </row>
    <row r="79" spans="1:5" x14ac:dyDescent="0.3">
      <c r="A79" s="68" t="s">
        <v>477</v>
      </c>
      <c r="B79" t="s">
        <v>70</v>
      </c>
      <c r="C79" s="68" t="s">
        <v>76</v>
      </c>
      <c r="D79" s="68" t="s">
        <v>76</v>
      </c>
      <c r="E79" t="s">
        <v>225</v>
      </c>
    </row>
    <row r="80" spans="1:5" x14ac:dyDescent="0.3">
      <c r="A80" s="68" t="s">
        <v>477</v>
      </c>
      <c r="B80" t="s">
        <v>70</v>
      </c>
      <c r="C80" s="68" t="s">
        <v>76</v>
      </c>
      <c r="D80" s="68" t="s">
        <v>76</v>
      </c>
      <c r="E80" t="s">
        <v>226</v>
      </c>
    </row>
    <row r="81" spans="1:5" x14ac:dyDescent="0.3">
      <c r="A81" s="68" t="s">
        <v>477</v>
      </c>
      <c r="B81" t="s">
        <v>73</v>
      </c>
      <c r="C81" s="68" t="s">
        <v>74</v>
      </c>
      <c r="D81" s="68" t="s">
        <v>74</v>
      </c>
      <c r="E81" t="s">
        <v>423</v>
      </c>
    </row>
    <row r="82" spans="1:5" x14ac:dyDescent="0.3">
      <c r="A82" s="68" t="s">
        <v>477</v>
      </c>
      <c r="B82" t="s">
        <v>73</v>
      </c>
      <c r="C82" s="68" t="s">
        <v>74</v>
      </c>
      <c r="D82" s="68" t="s">
        <v>74</v>
      </c>
      <c r="E82" t="s">
        <v>557</v>
      </c>
    </row>
    <row r="83" spans="1:5" x14ac:dyDescent="0.3">
      <c r="A83" s="68" t="s">
        <v>477</v>
      </c>
      <c r="B83" t="s">
        <v>465</v>
      </c>
      <c r="C83" s="68" t="s">
        <v>77</v>
      </c>
      <c r="D83" s="68" t="s">
        <v>78</v>
      </c>
      <c r="E83" t="s">
        <v>558</v>
      </c>
    </row>
    <row r="84" spans="1:5" x14ac:dyDescent="0.3">
      <c r="A84" s="68" t="s">
        <v>476</v>
      </c>
      <c r="B84" t="s">
        <v>465</v>
      </c>
      <c r="C84" s="68" t="s">
        <v>90</v>
      </c>
      <c r="D84" s="68" t="s">
        <v>91</v>
      </c>
      <c r="E84" t="s">
        <v>240</v>
      </c>
    </row>
    <row r="85" spans="1:5" x14ac:dyDescent="0.3">
      <c r="A85" s="68" t="s">
        <v>476</v>
      </c>
      <c r="B85" t="s">
        <v>465</v>
      </c>
      <c r="C85" s="68" t="s">
        <v>90</v>
      </c>
      <c r="D85" s="68" t="s">
        <v>91</v>
      </c>
      <c r="E85" t="s">
        <v>241</v>
      </c>
    </row>
    <row r="86" spans="1:5" x14ac:dyDescent="0.3">
      <c r="A86" s="68" t="s">
        <v>476</v>
      </c>
      <c r="B86" t="s">
        <v>465</v>
      </c>
      <c r="C86" s="68" t="s">
        <v>90</v>
      </c>
      <c r="D86" s="68" t="s">
        <v>91</v>
      </c>
      <c r="E86" t="s">
        <v>242</v>
      </c>
    </row>
    <row r="87" spans="1:5" x14ac:dyDescent="0.3">
      <c r="A87" s="68" t="s">
        <v>476</v>
      </c>
      <c r="B87" t="s">
        <v>465</v>
      </c>
      <c r="C87" s="68" t="s">
        <v>90</v>
      </c>
      <c r="D87" s="68" t="s">
        <v>91</v>
      </c>
      <c r="E87" t="s">
        <v>559</v>
      </c>
    </row>
    <row r="88" spans="1:5" x14ac:dyDescent="0.3">
      <c r="A88" s="68" t="s">
        <v>476</v>
      </c>
      <c r="B88" t="s">
        <v>465</v>
      </c>
      <c r="C88" s="68" t="s">
        <v>90</v>
      </c>
      <c r="D88" s="68" t="s">
        <v>91</v>
      </c>
      <c r="E88" t="s">
        <v>243</v>
      </c>
    </row>
    <row r="89" spans="1:5" x14ac:dyDescent="0.3">
      <c r="A89" s="68" t="s">
        <v>476</v>
      </c>
      <c r="B89" t="s">
        <v>465</v>
      </c>
      <c r="C89" s="68" t="s">
        <v>90</v>
      </c>
      <c r="D89" s="68" t="s">
        <v>91</v>
      </c>
      <c r="E89" t="s">
        <v>244</v>
      </c>
    </row>
    <row r="90" spans="1:5" x14ac:dyDescent="0.3">
      <c r="A90" s="68" t="s">
        <v>476</v>
      </c>
      <c r="B90" t="s">
        <v>465</v>
      </c>
      <c r="C90" s="68" t="s">
        <v>90</v>
      </c>
      <c r="D90" s="68" t="s">
        <v>91</v>
      </c>
      <c r="E90" t="s">
        <v>245</v>
      </c>
    </row>
    <row r="91" spans="1:5" x14ac:dyDescent="0.3">
      <c r="A91" s="68" t="s">
        <v>476</v>
      </c>
      <c r="B91" t="s">
        <v>465</v>
      </c>
      <c r="C91" s="68" t="s">
        <v>90</v>
      </c>
      <c r="D91" s="68" t="s">
        <v>91</v>
      </c>
      <c r="E91" t="s">
        <v>495</v>
      </c>
    </row>
    <row r="92" spans="1:5" x14ac:dyDescent="0.3">
      <c r="A92" s="68" t="s">
        <v>476</v>
      </c>
      <c r="B92" t="s">
        <v>465</v>
      </c>
      <c r="C92" s="68" t="s">
        <v>68</v>
      </c>
      <c r="D92" s="68" t="s">
        <v>68</v>
      </c>
      <c r="E92" t="s">
        <v>227</v>
      </c>
    </row>
    <row r="93" spans="1:5" x14ac:dyDescent="0.3">
      <c r="A93" s="68" t="s">
        <v>476</v>
      </c>
      <c r="B93" t="s">
        <v>79</v>
      </c>
      <c r="C93" s="68" t="s">
        <v>121</v>
      </c>
      <c r="D93" s="68" t="s">
        <v>128</v>
      </c>
      <c r="E93" t="s">
        <v>496</v>
      </c>
    </row>
    <row r="94" spans="1:5" x14ac:dyDescent="0.3">
      <c r="A94" s="68" t="s">
        <v>476</v>
      </c>
      <c r="B94" t="s">
        <v>79</v>
      </c>
      <c r="C94" s="68" t="s">
        <v>121</v>
      </c>
      <c r="D94" s="68" t="s">
        <v>91</v>
      </c>
      <c r="E94" t="s">
        <v>560</v>
      </c>
    </row>
    <row r="95" spans="1:5" x14ac:dyDescent="0.3">
      <c r="A95" s="68" t="s">
        <v>476</v>
      </c>
      <c r="B95" t="s">
        <v>79</v>
      </c>
      <c r="C95" s="68" t="s">
        <v>121</v>
      </c>
      <c r="D95" s="68" t="s">
        <v>128</v>
      </c>
      <c r="E95" t="s">
        <v>497</v>
      </c>
    </row>
    <row r="96" spans="1:5" x14ac:dyDescent="0.3">
      <c r="A96" s="68" t="s">
        <v>476</v>
      </c>
      <c r="B96" t="s">
        <v>79</v>
      </c>
      <c r="C96" s="68" t="s">
        <v>121</v>
      </c>
      <c r="D96" s="68" t="s">
        <v>122</v>
      </c>
      <c r="E96" t="s">
        <v>498</v>
      </c>
    </row>
    <row r="97" spans="1:5" x14ac:dyDescent="0.3">
      <c r="A97" s="68" t="s">
        <v>476</v>
      </c>
      <c r="B97" t="s">
        <v>79</v>
      </c>
      <c r="C97" s="68" t="s">
        <v>121</v>
      </c>
      <c r="D97" s="68" t="s">
        <v>122</v>
      </c>
      <c r="E97" t="s">
        <v>499</v>
      </c>
    </row>
    <row r="98" spans="1:5" x14ac:dyDescent="0.3">
      <c r="A98" s="68" t="s">
        <v>476</v>
      </c>
      <c r="B98" t="s">
        <v>79</v>
      </c>
      <c r="C98" s="68" t="s">
        <v>121</v>
      </c>
      <c r="D98" s="68" t="s">
        <v>122</v>
      </c>
      <c r="E98" t="s">
        <v>500</v>
      </c>
    </row>
    <row r="99" spans="1:5" x14ac:dyDescent="0.3">
      <c r="A99" s="68" t="s">
        <v>476</v>
      </c>
      <c r="B99" t="s">
        <v>79</v>
      </c>
      <c r="C99" s="68" t="s">
        <v>121</v>
      </c>
      <c r="D99" s="68" t="s">
        <v>122</v>
      </c>
      <c r="E99" t="s">
        <v>501</v>
      </c>
    </row>
    <row r="100" spans="1:5" x14ac:dyDescent="0.3">
      <c r="A100" s="68" t="s">
        <v>476</v>
      </c>
      <c r="B100" t="s">
        <v>79</v>
      </c>
      <c r="C100" s="68" t="s">
        <v>121</v>
      </c>
      <c r="D100" s="68" t="s">
        <v>127</v>
      </c>
      <c r="E100" t="s">
        <v>502</v>
      </c>
    </row>
    <row r="101" spans="1:5" x14ac:dyDescent="0.3">
      <c r="A101" s="68" t="s">
        <v>476</v>
      </c>
      <c r="B101" t="s">
        <v>41</v>
      </c>
      <c r="C101" s="68" t="s">
        <v>92</v>
      </c>
      <c r="D101" s="68" t="s">
        <v>92</v>
      </c>
      <c r="E101" t="s">
        <v>561</v>
      </c>
    </row>
    <row r="102" spans="1:5" x14ac:dyDescent="0.3">
      <c r="A102" s="68" t="s">
        <v>476</v>
      </c>
      <c r="B102" t="s">
        <v>41</v>
      </c>
      <c r="C102" s="68" t="s">
        <v>92</v>
      </c>
      <c r="D102" s="68" t="s">
        <v>92</v>
      </c>
      <c r="E102" t="s">
        <v>562</v>
      </c>
    </row>
    <row r="103" spans="1:5" x14ac:dyDescent="0.3">
      <c r="A103" s="68" t="s">
        <v>476</v>
      </c>
      <c r="B103" t="s">
        <v>41</v>
      </c>
      <c r="C103" s="68" t="s">
        <v>92</v>
      </c>
      <c r="D103" s="68" t="s">
        <v>92</v>
      </c>
      <c r="E103" t="s">
        <v>234</v>
      </c>
    </row>
    <row r="104" spans="1:5" x14ac:dyDescent="0.3">
      <c r="A104" s="68" t="s">
        <v>476</v>
      </c>
      <c r="B104" t="s">
        <v>41</v>
      </c>
      <c r="C104" s="68" t="s">
        <v>92</v>
      </c>
      <c r="D104" s="68" t="s">
        <v>92</v>
      </c>
      <c r="E104" t="s">
        <v>235</v>
      </c>
    </row>
    <row r="105" spans="1:5" x14ac:dyDescent="0.3">
      <c r="A105" s="68" t="s">
        <v>476</v>
      </c>
      <c r="B105" t="s">
        <v>41</v>
      </c>
      <c r="C105" s="68" t="s">
        <v>92</v>
      </c>
      <c r="D105" s="68" t="s">
        <v>92</v>
      </c>
      <c r="E105" t="s">
        <v>236</v>
      </c>
    </row>
    <row r="106" spans="1:5" x14ac:dyDescent="0.3">
      <c r="A106" s="68" t="s">
        <v>476</v>
      </c>
      <c r="B106" t="s">
        <v>41</v>
      </c>
      <c r="C106" s="68" t="s">
        <v>92</v>
      </c>
      <c r="D106" s="68" t="s">
        <v>92</v>
      </c>
      <c r="E106" t="s">
        <v>237</v>
      </c>
    </row>
    <row r="107" spans="1:5" x14ac:dyDescent="0.3">
      <c r="A107" s="68" t="s">
        <v>476</v>
      </c>
      <c r="B107" t="s">
        <v>41</v>
      </c>
      <c r="C107" s="68" t="s">
        <v>92</v>
      </c>
      <c r="D107" s="68" t="s">
        <v>92</v>
      </c>
      <c r="E107" t="s">
        <v>238</v>
      </c>
    </row>
    <row r="108" spans="1:5" x14ac:dyDescent="0.3">
      <c r="A108" s="68" t="s">
        <v>476</v>
      </c>
      <c r="B108" t="s">
        <v>41</v>
      </c>
      <c r="C108" s="68" t="s">
        <v>92</v>
      </c>
      <c r="D108" s="68" t="s">
        <v>92</v>
      </c>
      <c r="E108" t="s">
        <v>233</v>
      </c>
    </row>
    <row r="109" spans="1:5" x14ac:dyDescent="0.3">
      <c r="A109" s="68" t="s">
        <v>476</v>
      </c>
      <c r="B109" t="s">
        <v>41</v>
      </c>
      <c r="C109" s="68" t="s">
        <v>92</v>
      </c>
      <c r="D109" s="68" t="s">
        <v>92</v>
      </c>
      <c r="E109" t="s">
        <v>563</v>
      </c>
    </row>
    <row r="110" spans="1:5" x14ac:dyDescent="0.3">
      <c r="A110" s="68" t="s">
        <v>112</v>
      </c>
      <c r="B110" t="s">
        <v>79</v>
      </c>
      <c r="C110" s="68" t="s">
        <v>83</v>
      </c>
      <c r="D110" s="68" t="s">
        <v>84</v>
      </c>
      <c r="E110" s="76" t="s">
        <v>573</v>
      </c>
    </row>
  </sheetData>
  <autoFilter ref="A84:A109" xr:uid="{6CDEE7C5-66D5-4A3D-9E34-4402AB34C819}"/>
  <conditionalFormatting sqref="D43">
    <cfRule type="duplicateValues" dxfId="5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39C12"/>
  </sheetPr>
  <dimension ref="A1:E8"/>
  <sheetViews>
    <sheetView showGridLines="0" topLeftCell="A5" workbookViewId="0">
      <selection activeCell="C8" sqref="C8"/>
    </sheetView>
  </sheetViews>
  <sheetFormatPr baseColWidth="10" defaultColWidth="8.88671875" defaultRowHeight="14.4" x14ac:dyDescent="0.3"/>
  <cols>
    <col min="1" max="1" width="5" customWidth="1"/>
    <col min="2" max="2" width="28" customWidth="1"/>
    <col min="3" max="3" width="50" customWidth="1"/>
    <col min="4" max="4" width="40" customWidth="1"/>
    <col min="5" max="5" width="25" customWidth="1"/>
  </cols>
  <sheetData>
    <row r="1" spans="1:5" ht="30" customHeight="1" x14ac:dyDescent="0.3">
      <c r="A1" s="43" t="s">
        <v>146</v>
      </c>
      <c r="B1" s="45"/>
      <c r="C1" s="45"/>
      <c r="D1" s="45"/>
      <c r="E1" s="45"/>
    </row>
    <row r="3" spans="1:5" ht="30" customHeight="1" x14ac:dyDescent="0.3">
      <c r="A3" s="8" t="s">
        <v>147</v>
      </c>
      <c r="B3" s="8" t="s">
        <v>148</v>
      </c>
      <c r="C3" s="8" t="s">
        <v>149</v>
      </c>
      <c r="D3" s="8" t="s">
        <v>150</v>
      </c>
      <c r="E3" s="8" t="s">
        <v>151</v>
      </c>
    </row>
    <row r="4" spans="1:5" ht="90" customHeight="1" x14ac:dyDescent="0.3">
      <c r="A4" s="31" t="s">
        <v>152</v>
      </c>
      <c r="B4" s="32" t="s">
        <v>153</v>
      </c>
      <c r="C4" s="14" t="s">
        <v>154</v>
      </c>
      <c r="D4" s="33" t="s">
        <v>155</v>
      </c>
      <c r="E4" s="34" t="s">
        <v>156</v>
      </c>
    </row>
    <row r="5" spans="1:5" ht="90" customHeight="1" x14ac:dyDescent="0.3">
      <c r="A5" s="31" t="s">
        <v>157</v>
      </c>
      <c r="B5" s="32" t="s">
        <v>158</v>
      </c>
      <c r="C5" s="14" t="s">
        <v>159</v>
      </c>
      <c r="D5" s="33" t="s">
        <v>160</v>
      </c>
      <c r="E5" s="34" t="s">
        <v>161</v>
      </c>
    </row>
    <row r="6" spans="1:5" ht="90" customHeight="1" x14ac:dyDescent="0.3">
      <c r="A6" s="31" t="s">
        <v>162</v>
      </c>
      <c r="B6" s="32" t="s">
        <v>163</v>
      </c>
      <c r="C6" s="14" t="s">
        <v>164</v>
      </c>
      <c r="D6" s="33" t="s">
        <v>165</v>
      </c>
      <c r="E6" s="35" t="s">
        <v>166</v>
      </c>
    </row>
    <row r="7" spans="1:5" ht="90" customHeight="1" x14ac:dyDescent="0.3">
      <c r="A7" s="31" t="s">
        <v>167</v>
      </c>
      <c r="B7" s="32" t="s">
        <v>168</v>
      </c>
      <c r="C7" s="14" t="s">
        <v>169</v>
      </c>
      <c r="D7" s="33" t="s">
        <v>170</v>
      </c>
      <c r="E7" s="34" t="s">
        <v>171</v>
      </c>
    </row>
    <row r="8" spans="1:5" ht="90" customHeight="1" x14ac:dyDescent="0.3">
      <c r="A8" s="31" t="s">
        <v>172</v>
      </c>
      <c r="B8" s="32" t="s">
        <v>173</v>
      </c>
      <c r="C8" s="14" t="s">
        <v>174</v>
      </c>
      <c r="D8" s="33" t="s">
        <v>175</v>
      </c>
      <c r="E8" s="35" t="s">
        <v>176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E44AD"/>
  </sheetPr>
  <dimension ref="A1:G58"/>
  <sheetViews>
    <sheetView showGridLines="0" topLeftCell="A6" workbookViewId="0">
      <selection activeCell="A6" sqref="A6"/>
    </sheetView>
  </sheetViews>
  <sheetFormatPr baseColWidth="10" defaultColWidth="8.88671875" defaultRowHeight="14.4" x14ac:dyDescent="0.3"/>
  <cols>
    <col min="1" max="1" width="4" customWidth="1"/>
    <col min="2" max="2" width="32" customWidth="1"/>
    <col min="3" max="3" width="30" customWidth="1"/>
    <col min="4" max="6" width="18" customWidth="1"/>
    <col min="7" max="7" width="35" customWidth="1"/>
  </cols>
  <sheetData>
    <row r="1" spans="1:7" ht="30" customHeight="1" x14ac:dyDescent="0.3">
      <c r="A1" s="43" t="s">
        <v>177</v>
      </c>
      <c r="B1" s="45"/>
      <c r="C1" s="45"/>
      <c r="D1" s="45"/>
      <c r="E1" s="45"/>
      <c r="F1" s="45"/>
      <c r="G1" s="45"/>
    </row>
    <row r="2" spans="1:7" ht="18" customHeight="1" x14ac:dyDescent="0.3">
      <c r="B2" s="56" t="s">
        <v>178</v>
      </c>
      <c r="C2" s="58" t="s">
        <v>179</v>
      </c>
      <c r="D2" s="57" t="s">
        <v>180</v>
      </c>
      <c r="E2" s="59" t="s">
        <v>181</v>
      </c>
      <c r="F2" s="56" t="s">
        <v>182</v>
      </c>
    </row>
    <row r="3" spans="1:7" ht="34.950000000000003" customHeight="1" x14ac:dyDescent="0.3">
      <c r="B3" s="36">
        <f>COUNTA('LISTA DE CHEQUEO'!E9:E13)</f>
        <v>5</v>
      </c>
      <c r="C3" s="37">
        <f>COUNTIF('LISTA DE CHEQUEO'!Q9:Q13,"SIN NOVEDAD")</f>
        <v>0</v>
      </c>
      <c r="D3" s="38">
        <f>COUNTIF('LISTA DE CHEQUEO'!Q9:Q13,"SEGUIMIENTO")</f>
        <v>0</v>
      </c>
      <c r="E3" s="39">
        <f>COUNTIF('LISTA DE CHEQUEO'!Q9:Q13,"ALERTA")</f>
        <v>0</v>
      </c>
      <c r="F3" s="36" t="str">
        <f>IF(COUNTA('LISTA DE CHEQUEO'!Q9:Q13)=0,"N/D",TEXT(COUNTIF('LISTA DE CHEQUEO'!Q9:Q13,"SIN NOVEDAD")/COUNTA('LISTA DE CHEQUEO'!Q9:Q13),"0.0%"))</f>
        <v>N/D</v>
      </c>
    </row>
    <row r="5" spans="1:7" ht="19.95" customHeight="1" x14ac:dyDescent="0.3">
      <c r="A5" s="55" t="s">
        <v>183</v>
      </c>
      <c r="B5" s="45"/>
      <c r="C5" s="45"/>
      <c r="D5" s="45"/>
      <c r="E5" s="45"/>
      <c r="F5" s="45"/>
      <c r="G5" s="45"/>
    </row>
    <row r="6" spans="1:7" ht="30" customHeight="1" x14ac:dyDescent="0.3">
      <c r="A6" s="8" t="s">
        <v>50</v>
      </c>
      <c r="B6" s="8" t="s">
        <v>51</v>
      </c>
      <c r="C6" s="8" t="s">
        <v>184</v>
      </c>
      <c r="D6" s="8" t="s">
        <v>66</v>
      </c>
      <c r="E6" s="8" t="s">
        <v>185</v>
      </c>
      <c r="F6" s="8" t="s">
        <v>186</v>
      </c>
      <c r="G6" s="8" t="s">
        <v>187</v>
      </c>
    </row>
    <row r="7" spans="1:7" ht="25.2" customHeight="1" x14ac:dyDescent="0.3">
      <c r="A7" s="9">
        <v>1</v>
      </c>
      <c r="B7" s="10" t="s">
        <v>67</v>
      </c>
      <c r="C7" s="11" t="s">
        <v>68</v>
      </c>
      <c r="D7" s="16">
        <f>'LISTA DE CHEQUEO'!Q9</f>
        <v>0</v>
      </c>
      <c r="E7" s="40">
        <f>COUNTIF('LISTA DE CHEQUEO'!I9:M9,"✘ NO CUMPLE")</f>
        <v>0</v>
      </c>
      <c r="F7" s="14">
        <f>'LISTA DE CHEQUEO'!N9</f>
        <v>0</v>
      </c>
      <c r="G7" s="14"/>
    </row>
    <row r="8" spans="1:7" ht="25.2" customHeight="1" x14ac:dyDescent="0.3">
      <c r="A8" s="9">
        <v>2</v>
      </c>
      <c r="B8" s="17" t="s">
        <v>70</v>
      </c>
      <c r="C8" s="18" t="s">
        <v>71</v>
      </c>
      <c r="D8" s="16" t="e">
        <f>'LISTA DE CHEQUEO'!#REF!</f>
        <v>#REF!</v>
      </c>
      <c r="E8" s="40" t="e">
        <f>COUNTIF('LISTA DE CHEQUEO'!#REF!,"✘ NO CUMPLE")</f>
        <v>#REF!</v>
      </c>
      <c r="F8" s="14" t="e">
        <f>'LISTA DE CHEQUEO'!#REF!</f>
        <v>#REF!</v>
      </c>
      <c r="G8" s="14"/>
    </row>
    <row r="9" spans="1:7" ht="25.2" customHeight="1" x14ac:dyDescent="0.3">
      <c r="A9" s="9">
        <v>3</v>
      </c>
      <c r="B9" s="19" t="s">
        <v>73</v>
      </c>
      <c r="C9" s="20" t="s">
        <v>74</v>
      </c>
      <c r="D9" s="16" t="e">
        <f>'LISTA DE CHEQUEO'!#REF!</f>
        <v>#REF!</v>
      </c>
      <c r="E9" s="40" t="e">
        <f>COUNTIF('LISTA DE CHEQUEO'!#REF!,"✘ NO CUMPLE")</f>
        <v>#REF!</v>
      </c>
      <c r="F9" s="14" t="e">
        <f>'LISTA DE CHEQUEO'!#REF!</f>
        <v>#REF!</v>
      </c>
      <c r="G9" s="14"/>
    </row>
    <row r="10" spans="1:7" ht="25.2" customHeight="1" x14ac:dyDescent="0.3">
      <c r="A10" s="9">
        <v>4</v>
      </c>
      <c r="B10" s="21" t="s">
        <v>41</v>
      </c>
      <c r="C10" s="22" t="s">
        <v>75</v>
      </c>
      <c r="D10" s="16" t="e">
        <f>'LISTA DE CHEQUEO'!#REF!</f>
        <v>#REF!</v>
      </c>
      <c r="E10" s="40" t="e">
        <f>COUNTIF('LISTA DE CHEQUEO'!#REF!,"✘ NO CUMPLE")</f>
        <v>#REF!</v>
      </c>
      <c r="F10" s="14" t="e">
        <f>'LISTA DE CHEQUEO'!#REF!</f>
        <v>#REF!</v>
      </c>
      <c r="G10" s="14"/>
    </row>
    <row r="11" spans="1:7" ht="25.2" customHeight="1" x14ac:dyDescent="0.3">
      <c r="A11" s="9">
        <v>5</v>
      </c>
      <c r="B11" s="17" t="s">
        <v>70</v>
      </c>
      <c r="C11" s="18" t="s">
        <v>76</v>
      </c>
      <c r="D11" s="16" t="e">
        <f>'LISTA DE CHEQUEO'!#REF!</f>
        <v>#REF!</v>
      </c>
      <c r="E11" s="40" t="e">
        <f>COUNTIF('LISTA DE CHEQUEO'!#REF!,"✘ NO CUMPLE")</f>
        <v>#REF!</v>
      </c>
      <c r="F11" s="14" t="e">
        <f>'LISTA DE CHEQUEO'!#REF!</f>
        <v>#REF!</v>
      </c>
      <c r="G11" s="14"/>
    </row>
    <row r="12" spans="1:7" ht="25.2" customHeight="1" x14ac:dyDescent="0.3">
      <c r="A12" s="9">
        <v>6</v>
      </c>
      <c r="B12" s="10" t="s">
        <v>67</v>
      </c>
      <c r="C12" s="11" t="s">
        <v>78</v>
      </c>
      <c r="D12" s="16" t="e">
        <f>'LISTA DE CHEQUEO'!#REF!</f>
        <v>#REF!</v>
      </c>
      <c r="E12" s="40" t="e">
        <f>COUNTIF('LISTA DE CHEQUEO'!#REF!,"✘ NO CUMPLE")</f>
        <v>#REF!</v>
      </c>
      <c r="F12" s="14" t="e">
        <f>'LISTA DE CHEQUEO'!#REF!</f>
        <v>#REF!</v>
      </c>
      <c r="G12" s="14"/>
    </row>
    <row r="13" spans="1:7" ht="25.2" customHeight="1" x14ac:dyDescent="0.3">
      <c r="A13" s="9">
        <v>7</v>
      </c>
      <c r="B13" s="21" t="s">
        <v>41</v>
      </c>
      <c r="C13" s="22" t="s">
        <v>188</v>
      </c>
      <c r="D13" s="16" t="e">
        <f>'LISTA DE CHEQUEO'!#REF!</f>
        <v>#REF!</v>
      </c>
      <c r="E13" s="40" t="e">
        <f>COUNTIF('LISTA DE CHEQUEO'!#REF!,"✘ NO CUMPLE")</f>
        <v>#REF!</v>
      </c>
      <c r="F13" s="14" t="e">
        <f>'LISTA DE CHEQUEO'!#REF!</f>
        <v>#REF!</v>
      </c>
      <c r="G13" s="14"/>
    </row>
    <row r="14" spans="1:7" ht="25.2" customHeight="1" x14ac:dyDescent="0.3">
      <c r="A14" s="9">
        <v>8</v>
      </c>
      <c r="B14" s="23" t="s">
        <v>79</v>
      </c>
      <c r="C14" s="24" t="s">
        <v>80</v>
      </c>
      <c r="D14" s="16" t="e">
        <f>'LISTA DE CHEQUEO'!#REF!</f>
        <v>#REF!</v>
      </c>
      <c r="E14" s="40" t="e">
        <f>COUNTIF('LISTA DE CHEQUEO'!#REF!,"✘ NO CUMPLE")</f>
        <v>#REF!</v>
      </c>
      <c r="F14" s="14" t="e">
        <f>'LISTA DE CHEQUEO'!#REF!</f>
        <v>#REF!</v>
      </c>
      <c r="G14" s="14"/>
    </row>
    <row r="15" spans="1:7" ht="25.2" customHeight="1" x14ac:dyDescent="0.3">
      <c r="A15" s="9">
        <v>9</v>
      </c>
      <c r="B15" s="23" t="s">
        <v>79</v>
      </c>
      <c r="C15" s="24" t="s">
        <v>82</v>
      </c>
      <c r="D15" s="16" t="e">
        <f>'LISTA DE CHEQUEO'!#REF!</f>
        <v>#REF!</v>
      </c>
      <c r="E15" s="40" t="e">
        <f>COUNTIF('LISTA DE CHEQUEO'!#REF!,"✘ NO CUMPLE")</f>
        <v>#REF!</v>
      </c>
      <c r="F15" s="14" t="e">
        <f>'LISTA DE CHEQUEO'!#REF!</f>
        <v>#REF!</v>
      </c>
      <c r="G15" s="14"/>
    </row>
    <row r="16" spans="1:7" ht="25.2" customHeight="1" x14ac:dyDescent="0.3">
      <c r="A16" s="9">
        <v>10</v>
      </c>
      <c r="B16" s="23" t="s">
        <v>79</v>
      </c>
      <c r="C16" s="24" t="s">
        <v>84</v>
      </c>
      <c r="D16" s="16" t="e">
        <f>'LISTA DE CHEQUEO'!#REF!</f>
        <v>#REF!</v>
      </c>
      <c r="E16" s="40" t="e">
        <f>COUNTIF('LISTA DE CHEQUEO'!#REF!,"✘ NO CUMPLE")</f>
        <v>#REF!</v>
      </c>
      <c r="F16" s="14" t="e">
        <f>'LISTA DE CHEQUEO'!#REF!</f>
        <v>#REF!</v>
      </c>
      <c r="G16" s="14"/>
    </row>
    <row r="17" spans="1:7" ht="25.2" customHeight="1" x14ac:dyDescent="0.3">
      <c r="A17" s="9">
        <v>11</v>
      </c>
      <c r="B17" s="23" t="s">
        <v>79</v>
      </c>
      <c r="C17" s="24" t="s">
        <v>86</v>
      </c>
      <c r="D17" s="16" t="e">
        <f>'LISTA DE CHEQUEO'!#REF!</f>
        <v>#REF!</v>
      </c>
      <c r="E17" s="40" t="e">
        <f>COUNTIF('LISTA DE CHEQUEO'!#REF!,"✘ NO CUMPLE")</f>
        <v>#REF!</v>
      </c>
      <c r="F17" s="14" t="e">
        <f>'LISTA DE CHEQUEO'!#REF!</f>
        <v>#REF!</v>
      </c>
      <c r="G17" s="14"/>
    </row>
    <row r="18" spans="1:7" ht="25.2" customHeight="1" x14ac:dyDescent="0.3">
      <c r="A18" s="9">
        <v>12</v>
      </c>
      <c r="B18" s="23" t="s">
        <v>79</v>
      </c>
      <c r="C18" s="24" t="s">
        <v>87</v>
      </c>
      <c r="D18" s="16" t="e">
        <f>'LISTA DE CHEQUEO'!#REF!</f>
        <v>#REF!</v>
      </c>
      <c r="E18" s="40" t="e">
        <f>COUNTIF('LISTA DE CHEQUEO'!#REF!,"✘ NO CUMPLE")</f>
        <v>#REF!</v>
      </c>
      <c r="F18" s="14" t="e">
        <f>'LISTA DE CHEQUEO'!#REF!</f>
        <v>#REF!</v>
      </c>
      <c r="G18" s="14"/>
    </row>
    <row r="19" spans="1:7" ht="25.2" customHeight="1" x14ac:dyDescent="0.3">
      <c r="A19" s="9">
        <v>13</v>
      </c>
      <c r="B19" s="19" t="s">
        <v>73</v>
      </c>
      <c r="C19" s="20" t="s">
        <v>89</v>
      </c>
      <c r="D19" s="16" t="e">
        <f>'LISTA DE CHEQUEO'!#REF!</f>
        <v>#REF!</v>
      </c>
      <c r="E19" s="40" t="e">
        <f>COUNTIF('LISTA DE CHEQUEO'!#REF!,"✘ NO CUMPLE")</f>
        <v>#REF!</v>
      </c>
      <c r="F19" s="14" t="e">
        <f>'LISTA DE CHEQUEO'!#REF!</f>
        <v>#REF!</v>
      </c>
      <c r="G19" s="14"/>
    </row>
    <row r="20" spans="1:7" ht="25.2" customHeight="1" x14ac:dyDescent="0.3">
      <c r="A20" s="9">
        <v>14</v>
      </c>
      <c r="B20" s="10" t="s">
        <v>67</v>
      </c>
      <c r="C20" s="11" t="s">
        <v>91</v>
      </c>
      <c r="D20" s="16" t="e">
        <f>'LISTA DE CHEQUEO'!#REF!</f>
        <v>#REF!</v>
      </c>
      <c r="E20" s="40" t="e">
        <f>COUNTIF('LISTA DE CHEQUEO'!#REF!,"✘ NO CUMPLE")</f>
        <v>#REF!</v>
      </c>
      <c r="F20" s="14" t="e">
        <f>'LISTA DE CHEQUEO'!#REF!</f>
        <v>#REF!</v>
      </c>
      <c r="G20" s="14"/>
    </row>
    <row r="21" spans="1:7" ht="25.2" customHeight="1" x14ac:dyDescent="0.3">
      <c r="A21" s="9">
        <v>15</v>
      </c>
      <c r="B21" s="21" t="s">
        <v>41</v>
      </c>
      <c r="C21" s="22" t="s">
        <v>92</v>
      </c>
      <c r="D21" s="16" t="e">
        <f>'LISTA DE CHEQUEO'!#REF!</f>
        <v>#REF!</v>
      </c>
      <c r="E21" s="40" t="e">
        <f>COUNTIF('LISTA DE CHEQUEO'!#REF!,"✘ NO CUMPLE")</f>
        <v>#REF!</v>
      </c>
      <c r="F21" s="14" t="e">
        <f>'LISTA DE CHEQUEO'!#REF!</f>
        <v>#REF!</v>
      </c>
      <c r="G21" s="14"/>
    </row>
    <row r="22" spans="1:7" ht="25.2" customHeight="1" x14ac:dyDescent="0.3">
      <c r="A22" s="9">
        <v>16</v>
      </c>
      <c r="B22" s="21" t="s">
        <v>41</v>
      </c>
      <c r="C22" s="22" t="s">
        <v>93</v>
      </c>
      <c r="D22" s="16" t="e">
        <f>'LISTA DE CHEQUEO'!#REF!</f>
        <v>#REF!</v>
      </c>
      <c r="E22" s="40" t="e">
        <f>COUNTIF('LISTA DE CHEQUEO'!#REF!,"✘ NO CUMPLE")</f>
        <v>#REF!</v>
      </c>
      <c r="F22" s="14" t="e">
        <f>'LISTA DE CHEQUEO'!#REF!</f>
        <v>#REF!</v>
      </c>
      <c r="G22" s="14"/>
    </row>
    <row r="23" spans="1:7" ht="25.2" customHeight="1" x14ac:dyDescent="0.3">
      <c r="A23" s="9">
        <v>17</v>
      </c>
      <c r="B23" s="21" t="s">
        <v>41</v>
      </c>
      <c r="C23" s="22" t="s">
        <v>95</v>
      </c>
      <c r="D23" s="16" t="e">
        <f>'LISTA DE CHEQUEO'!#REF!</f>
        <v>#REF!</v>
      </c>
      <c r="E23" s="40" t="e">
        <f>COUNTIF('LISTA DE CHEQUEO'!#REF!,"✘ NO CUMPLE")</f>
        <v>#REF!</v>
      </c>
      <c r="F23" s="14" t="e">
        <f>'LISTA DE CHEQUEO'!#REF!</f>
        <v>#REF!</v>
      </c>
      <c r="G23" s="14"/>
    </row>
    <row r="24" spans="1:7" ht="25.2" customHeight="1" x14ac:dyDescent="0.3">
      <c r="A24" s="9">
        <v>18</v>
      </c>
      <c r="B24" s="19" t="s">
        <v>73</v>
      </c>
      <c r="C24" s="20" t="s">
        <v>96</v>
      </c>
      <c r="D24" s="16" t="e">
        <f>'LISTA DE CHEQUEO'!#REF!</f>
        <v>#REF!</v>
      </c>
      <c r="E24" s="40" t="e">
        <f>COUNTIF('LISTA DE CHEQUEO'!#REF!,"✘ NO CUMPLE")</f>
        <v>#REF!</v>
      </c>
      <c r="F24" s="14" t="e">
        <f>'LISTA DE CHEQUEO'!#REF!</f>
        <v>#REF!</v>
      </c>
      <c r="G24" s="14"/>
    </row>
    <row r="25" spans="1:7" ht="25.2" customHeight="1" x14ac:dyDescent="0.3">
      <c r="A25" s="9">
        <v>19</v>
      </c>
      <c r="B25" s="19" t="s">
        <v>73</v>
      </c>
      <c r="C25" s="20" t="s">
        <v>97</v>
      </c>
      <c r="D25" s="16" t="e">
        <f>'LISTA DE CHEQUEO'!#REF!</f>
        <v>#REF!</v>
      </c>
      <c r="E25" s="40" t="e">
        <f>COUNTIF('LISTA DE CHEQUEO'!#REF!,"✘ NO CUMPLE")</f>
        <v>#REF!</v>
      </c>
      <c r="F25" s="14" t="e">
        <f>'LISTA DE CHEQUEO'!#REF!</f>
        <v>#REF!</v>
      </c>
      <c r="G25" s="14"/>
    </row>
    <row r="26" spans="1:7" ht="25.2" customHeight="1" x14ac:dyDescent="0.3">
      <c r="A26" s="9">
        <v>20</v>
      </c>
      <c r="B26" s="23" t="s">
        <v>79</v>
      </c>
      <c r="C26" s="24" t="s">
        <v>99</v>
      </c>
      <c r="D26" s="16" t="e">
        <f>'LISTA DE CHEQUEO'!#REF!</f>
        <v>#REF!</v>
      </c>
      <c r="E26" s="40" t="e">
        <f>COUNTIF('LISTA DE CHEQUEO'!#REF!,"✘ NO CUMPLE")</f>
        <v>#REF!</v>
      </c>
      <c r="F26" s="14" t="e">
        <f>'LISTA DE CHEQUEO'!#REF!</f>
        <v>#REF!</v>
      </c>
      <c r="G26" s="14"/>
    </row>
    <row r="27" spans="1:7" ht="25.2" customHeight="1" x14ac:dyDescent="0.3">
      <c r="A27" s="9">
        <v>21</v>
      </c>
      <c r="B27" s="21" t="s">
        <v>41</v>
      </c>
      <c r="C27" s="22" t="s">
        <v>100</v>
      </c>
      <c r="D27" s="16" t="e">
        <f>'LISTA DE CHEQUEO'!#REF!</f>
        <v>#REF!</v>
      </c>
      <c r="E27" s="40" t="e">
        <f>COUNTIF('LISTA DE CHEQUEO'!#REF!,"✘ NO CUMPLE")</f>
        <v>#REF!</v>
      </c>
      <c r="F27" s="14" t="e">
        <f>'LISTA DE CHEQUEO'!#REF!</f>
        <v>#REF!</v>
      </c>
      <c r="G27" s="14"/>
    </row>
    <row r="28" spans="1:7" ht="25.2" customHeight="1" x14ac:dyDescent="0.3">
      <c r="A28" s="9">
        <v>22</v>
      </c>
      <c r="B28" s="21" t="s">
        <v>41</v>
      </c>
      <c r="C28" s="22" t="s">
        <v>101</v>
      </c>
      <c r="D28" s="16" t="e">
        <f>'LISTA DE CHEQUEO'!#REF!</f>
        <v>#REF!</v>
      </c>
      <c r="E28" s="40" t="e">
        <f>COUNTIF('LISTA DE CHEQUEO'!#REF!,"✘ NO CUMPLE")</f>
        <v>#REF!</v>
      </c>
      <c r="F28" s="14" t="e">
        <f>'LISTA DE CHEQUEO'!#REF!</f>
        <v>#REF!</v>
      </c>
      <c r="G28" s="14"/>
    </row>
    <row r="29" spans="1:7" ht="25.2" customHeight="1" x14ac:dyDescent="0.3">
      <c r="A29" s="9">
        <v>23</v>
      </c>
      <c r="B29" s="19" t="s">
        <v>73</v>
      </c>
      <c r="C29" s="20" t="s">
        <v>102</v>
      </c>
      <c r="D29" s="16" t="e">
        <f>'LISTA DE CHEQUEO'!#REF!</f>
        <v>#REF!</v>
      </c>
      <c r="E29" s="40" t="e">
        <f>COUNTIF('LISTA DE CHEQUEO'!#REF!,"✘ NO CUMPLE")</f>
        <v>#REF!</v>
      </c>
      <c r="F29" s="14" t="e">
        <f>'LISTA DE CHEQUEO'!#REF!</f>
        <v>#REF!</v>
      </c>
      <c r="G29" s="14"/>
    </row>
    <row r="30" spans="1:7" ht="25.2" customHeight="1" x14ac:dyDescent="0.3">
      <c r="A30" s="9">
        <v>24</v>
      </c>
      <c r="B30" s="26" t="s">
        <v>103</v>
      </c>
      <c r="C30" s="27" t="s">
        <v>104</v>
      </c>
      <c r="D30" s="16" t="e">
        <f>'LISTA DE CHEQUEO'!#REF!</f>
        <v>#REF!</v>
      </c>
      <c r="E30" s="40" t="e">
        <f>COUNTIF('LISTA DE CHEQUEO'!#REF!,"✘ NO CUMPLE")</f>
        <v>#REF!</v>
      </c>
      <c r="F30" s="14" t="e">
        <f>'LISTA DE CHEQUEO'!#REF!</f>
        <v>#REF!</v>
      </c>
      <c r="G30" s="14"/>
    </row>
    <row r="31" spans="1:7" ht="25.2" customHeight="1" x14ac:dyDescent="0.3">
      <c r="A31" s="9">
        <v>25</v>
      </c>
      <c r="B31" s="23" t="s">
        <v>79</v>
      </c>
      <c r="C31" s="24" t="s">
        <v>105</v>
      </c>
      <c r="D31" s="16" t="e">
        <f>'LISTA DE CHEQUEO'!#REF!</f>
        <v>#REF!</v>
      </c>
      <c r="E31" s="40" t="e">
        <f>COUNTIF('LISTA DE CHEQUEO'!#REF!,"✘ NO CUMPLE")</f>
        <v>#REF!</v>
      </c>
      <c r="F31" s="14" t="e">
        <f>'LISTA DE CHEQUEO'!#REF!</f>
        <v>#REF!</v>
      </c>
      <c r="G31" s="14"/>
    </row>
    <row r="32" spans="1:7" ht="25.2" customHeight="1" x14ac:dyDescent="0.3">
      <c r="A32" s="9">
        <v>26</v>
      </c>
      <c r="B32" s="23" t="s">
        <v>79</v>
      </c>
      <c r="C32" s="24" t="s">
        <v>107</v>
      </c>
      <c r="D32" s="16">
        <f>'LISTA DE CHEQUEO'!Q10</f>
        <v>0</v>
      </c>
      <c r="E32" s="40">
        <f>COUNTIF('LISTA DE CHEQUEO'!I10:M10,"✘ NO CUMPLE")</f>
        <v>0</v>
      </c>
      <c r="F32" s="14" t="str">
        <f>'LISTA DE CHEQUEO'!N10</f>
        <v>Diferencias de datos entre Kawak, Informe de sostenibilidad y Informe de gestión</v>
      </c>
      <c r="G32" s="14"/>
    </row>
    <row r="33" spans="1:7" ht="25.2" customHeight="1" x14ac:dyDescent="0.3">
      <c r="A33" s="9">
        <v>27</v>
      </c>
      <c r="B33" s="19" t="s">
        <v>73</v>
      </c>
      <c r="C33" s="20" t="s">
        <v>109</v>
      </c>
      <c r="D33" s="16" t="e">
        <f>'LISTA DE CHEQUEO'!#REF!</f>
        <v>#REF!</v>
      </c>
      <c r="E33" s="40" t="e">
        <f>COUNTIF('LISTA DE CHEQUEO'!#REF!,"✘ NO CUMPLE")</f>
        <v>#REF!</v>
      </c>
      <c r="F33" s="14" t="e">
        <f>'LISTA DE CHEQUEO'!#REF!</f>
        <v>#REF!</v>
      </c>
      <c r="G33" s="14"/>
    </row>
    <row r="34" spans="1:7" ht="25.2" customHeight="1" x14ac:dyDescent="0.3">
      <c r="A34" s="9">
        <v>28</v>
      </c>
      <c r="B34" s="23" t="s">
        <v>79</v>
      </c>
      <c r="C34" s="24" t="s">
        <v>111</v>
      </c>
      <c r="D34" s="16" t="e">
        <f>'LISTA DE CHEQUEO'!#REF!</f>
        <v>#REF!</v>
      </c>
      <c r="E34" s="40" t="e">
        <f>COUNTIF('LISTA DE CHEQUEO'!#REF!,"✘ NO CUMPLE")</f>
        <v>#REF!</v>
      </c>
      <c r="F34" s="14" t="e">
        <f>'LISTA DE CHEQUEO'!#REF!</f>
        <v>#REF!</v>
      </c>
      <c r="G34" s="14"/>
    </row>
    <row r="35" spans="1:7" ht="25.2" customHeight="1" x14ac:dyDescent="0.3">
      <c r="A35" s="9">
        <v>29</v>
      </c>
      <c r="B35" s="19" t="s">
        <v>73</v>
      </c>
      <c r="C35" s="20" t="s">
        <v>116</v>
      </c>
      <c r="D35" s="16" t="e">
        <f>'LISTA DE CHEQUEO'!#REF!</f>
        <v>#REF!</v>
      </c>
      <c r="E35" s="40" t="e">
        <f>COUNTIF('LISTA DE CHEQUEO'!#REF!,"✘ NO CUMPLE")</f>
        <v>#REF!</v>
      </c>
      <c r="F35" s="14" t="e">
        <f>'LISTA DE CHEQUEO'!#REF!</f>
        <v>#REF!</v>
      </c>
      <c r="G35" s="14"/>
    </row>
    <row r="36" spans="1:7" ht="25.2" customHeight="1" x14ac:dyDescent="0.3">
      <c r="A36" s="9">
        <v>30</v>
      </c>
      <c r="B36" s="21" t="s">
        <v>41</v>
      </c>
      <c r="C36" s="22" t="s">
        <v>117</v>
      </c>
      <c r="D36" s="16" t="e">
        <f>'LISTA DE CHEQUEO'!#REF!</f>
        <v>#REF!</v>
      </c>
      <c r="E36" s="40" t="e">
        <f>COUNTIF('LISTA DE CHEQUEO'!#REF!,"✘ NO CUMPLE")</f>
        <v>#REF!</v>
      </c>
      <c r="F36" s="14" t="e">
        <f>'LISTA DE CHEQUEO'!#REF!</f>
        <v>#REF!</v>
      </c>
      <c r="G36" s="14"/>
    </row>
    <row r="37" spans="1:7" ht="25.2" customHeight="1" x14ac:dyDescent="0.3">
      <c r="A37" s="9">
        <v>31</v>
      </c>
      <c r="B37" s="10" t="s">
        <v>67</v>
      </c>
      <c r="C37" s="11" t="s">
        <v>118</v>
      </c>
      <c r="D37" s="16" t="e">
        <f>'LISTA DE CHEQUEO'!#REF!</f>
        <v>#REF!</v>
      </c>
      <c r="E37" s="40" t="e">
        <f>COUNTIF('LISTA DE CHEQUEO'!#REF!,"✘ NO CUMPLE")</f>
        <v>#REF!</v>
      </c>
      <c r="F37" s="14" t="e">
        <f>'LISTA DE CHEQUEO'!#REF!</f>
        <v>#REF!</v>
      </c>
      <c r="G37" s="14"/>
    </row>
    <row r="38" spans="1:7" ht="25.2" customHeight="1" x14ac:dyDescent="0.3">
      <c r="A38" s="9">
        <v>32</v>
      </c>
      <c r="B38" s="19" t="s">
        <v>73</v>
      </c>
      <c r="C38" s="20" t="s">
        <v>119</v>
      </c>
      <c r="D38" s="16" t="e">
        <f>'LISTA DE CHEQUEO'!#REF!</f>
        <v>#REF!</v>
      </c>
      <c r="E38" s="40" t="e">
        <f>COUNTIF('LISTA DE CHEQUEO'!#REF!,"✘ NO CUMPLE")</f>
        <v>#REF!</v>
      </c>
      <c r="F38" s="14" t="e">
        <f>'LISTA DE CHEQUEO'!#REF!</f>
        <v>#REF!</v>
      </c>
      <c r="G38" s="14"/>
    </row>
    <row r="39" spans="1:7" ht="25.2" customHeight="1" x14ac:dyDescent="0.3">
      <c r="A39" s="9">
        <v>33</v>
      </c>
      <c r="B39" s="23" t="s">
        <v>79</v>
      </c>
      <c r="C39" s="24" t="s">
        <v>120</v>
      </c>
      <c r="D39" s="16" t="e">
        <f>'LISTA DE CHEQUEO'!#REF!</f>
        <v>#REF!</v>
      </c>
      <c r="E39" s="40" t="e">
        <f>COUNTIF('LISTA DE CHEQUEO'!#REF!,"✘ NO CUMPLE")</f>
        <v>#REF!</v>
      </c>
      <c r="F39" s="14" t="e">
        <f>'LISTA DE CHEQUEO'!#REF!</f>
        <v>#REF!</v>
      </c>
      <c r="G39" s="14"/>
    </row>
    <row r="40" spans="1:7" ht="25.2" customHeight="1" x14ac:dyDescent="0.3">
      <c r="A40" s="9">
        <v>34</v>
      </c>
      <c r="B40" s="23" t="s">
        <v>79</v>
      </c>
      <c r="C40" s="24" t="s">
        <v>122</v>
      </c>
      <c r="D40" s="16" t="e">
        <f>'LISTA DE CHEQUEO'!#REF!</f>
        <v>#REF!</v>
      </c>
      <c r="E40" s="40" t="e">
        <f>COUNTIF('LISTA DE CHEQUEO'!#REF!,"✘ NO CUMPLE")</f>
        <v>#REF!</v>
      </c>
      <c r="F40" s="14" t="e">
        <f>'LISTA DE CHEQUEO'!#REF!</f>
        <v>#REF!</v>
      </c>
      <c r="G40" s="14"/>
    </row>
    <row r="41" spans="1:7" ht="25.2" customHeight="1" x14ac:dyDescent="0.3">
      <c r="A41" s="9">
        <v>35</v>
      </c>
      <c r="B41" s="23" t="s">
        <v>79</v>
      </c>
      <c r="C41" s="24" t="s">
        <v>123</v>
      </c>
      <c r="D41" s="16" t="e">
        <f>'LISTA DE CHEQUEO'!#REF!</f>
        <v>#REF!</v>
      </c>
      <c r="E41" s="40" t="e">
        <f>COUNTIF('LISTA DE CHEQUEO'!#REF!,"✘ NO CUMPLE")</f>
        <v>#REF!</v>
      </c>
      <c r="F41" s="14" t="e">
        <f>'LISTA DE CHEQUEO'!#REF!</f>
        <v>#REF!</v>
      </c>
      <c r="G41" s="14"/>
    </row>
    <row r="42" spans="1:7" ht="25.2" customHeight="1" x14ac:dyDescent="0.3">
      <c r="A42" s="9">
        <v>36</v>
      </c>
      <c r="B42" s="10" t="s">
        <v>67</v>
      </c>
      <c r="C42" s="11" t="s">
        <v>124</v>
      </c>
      <c r="D42" s="16" t="e">
        <f>'LISTA DE CHEQUEO'!#REF!</f>
        <v>#REF!</v>
      </c>
      <c r="E42" s="40" t="e">
        <f>COUNTIF('LISTA DE CHEQUEO'!#REF!,"✘ NO CUMPLE")</f>
        <v>#REF!</v>
      </c>
      <c r="F42" s="14" t="e">
        <f>'LISTA DE CHEQUEO'!#REF!</f>
        <v>#REF!</v>
      </c>
      <c r="G42" s="14"/>
    </row>
    <row r="43" spans="1:7" ht="25.2" customHeight="1" x14ac:dyDescent="0.3">
      <c r="A43" s="9">
        <v>37</v>
      </c>
      <c r="B43" s="19" t="s">
        <v>73</v>
      </c>
      <c r="C43" s="20" t="s">
        <v>125</v>
      </c>
      <c r="D43" s="16" t="e">
        <f>'LISTA DE CHEQUEO'!#REF!</f>
        <v>#REF!</v>
      </c>
      <c r="E43" s="40" t="e">
        <f>COUNTIF('LISTA DE CHEQUEO'!#REF!,"✘ NO CUMPLE")</f>
        <v>#REF!</v>
      </c>
      <c r="F43" s="14" t="e">
        <f>'LISTA DE CHEQUEO'!#REF!</f>
        <v>#REF!</v>
      </c>
      <c r="G43" s="14"/>
    </row>
    <row r="44" spans="1:7" ht="25.2" customHeight="1" x14ac:dyDescent="0.3">
      <c r="A44" s="9">
        <v>38</v>
      </c>
      <c r="B44" s="10" t="s">
        <v>67</v>
      </c>
      <c r="C44" s="11" t="s">
        <v>126</v>
      </c>
      <c r="D44" s="16" t="e">
        <f>'LISTA DE CHEQUEO'!#REF!</f>
        <v>#REF!</v>
      </c>
      <c r="E44" s="40" t="e">
        <f>COUNTIF('LISTA DE CHEQUEO'!#REF!,"✘ NO CUMPLE")</f>
        <v>#REF!</v>
      </c>
      <c r="F44" s="14" t="e">
        <f>'LISTA DE CHEQUEO'!#REF!</f>
        <v>#REF!</v>
      </c>
      <c r="G44" s="14"/>
    </row>
    <row r="45" spans="1:7" ht="25.2" customHeight="1" x14ac:dyDescent="0.3">
      <c r="A45" s="9">
        <v>39</v>
      </c>
      <c r="B45" s="23" t="s">
        <v>79</v>
      </c>
      <c r="C45" s="24" t="s">
        <v>127</v>
      </c>
      <c r="D45" s="16" t="e">
        <f>'LISTA DE CHEQUEO'!#REF!</f>
        <v>#REF!</v>
      </c>
      <c r="E45" s="40" t="e">
        <f>COUNTIF('LISTA DE CHEQUEO'!#REF!,"✘ NO CUMPLE")</f>
        <v>#REF!</v>
      </c>
      <c r="F45" s="14" t="e">
        <f>'LISTA DE CHEQUEO'!#REF!</f>
        <v>#REF!</v>
      </c>
      <c r="G45" s="14"/>
    </row>
    <row r="46" spans="1:7" ht="25.2" customHeight="1" x14ac:dyDescent="0.3">
      <c r="A46" s="9">
        <v>40</v>
      </c>
      <c r="B46" s="19" t="s">
        <v>73</v>
      </c>
      <c r="C46" s="20" t="s">
        <v>128</v>
      </c>
      <c r="D46" s="16" t="e">
        <f>'LISTA DE CHEQUEO'!#REF!</f>
        <v>#REF!</v>
      </c>
      <c r="E46" s="40" t="e">
        <f>COUNTIF('LISTA DE CHEQUEO'!#REF!,"✘ NO CUMPLE")</f>
        <v>#REF!</v>
      </c>
      <c r="F46" s="14" t="e">
        <f>'LISTA DE CHEQUEO'!#REF!</f>
        <v>#REF!</v>
      </c>
      <c r="G46" s="14"/>
    </row>
    <row r="47" spans="1:7" ht="25.2" customHeight="1" x14ac:dyDescent="0.3">
      <c r="A47" s="9">
        <v>41</v>
      </c>
      <c r="B47" s="19" t="s">
        <v>73</v>
      </c>
      <c r="C47" s="20" t="s">
        <v>129</v>
      </c>
      <c r="D47" s="16" t="e">
        <f>'LISTA DE CHEQUEO'!#REF!</f>
        <v>#REF!</v>
      </c>
      <c r="E47" s="40" t="e">
        <f>COUNTIF('LISTA DE CHEQUEO'!#REF!,"✘ NO CUMPLE")</f>
        <v>#REF!</v>
      </c>
      <c r="F47" s="14" t="e">
        <f>'LISTA DE CHEQUEO'!#REF!</f>
        <v>#REF!</v>
      </c>
      <c r="G47" s="14"/>
    </row>
    <row r="48" spans="1:7" ht="25.2" customHeight="1" x14ac:dyDescent="0.3">
      <c r="A48" s="9">
        <v>42</v>
      </c>
      <c r="B48" s="19" t="s">
        <v>73</v>
      </c>
      <c r="C48" s="20" t="s">
        <v>130</v>
      </c>
      <c r="D48" s="16" t="e">
        <f>'LISTA DE CHEQUEO'!#REF!</f>
        <v>#REF!</v>
      </c>
      <c r="E48" s="40" t="e">
        <f>COUNTIF('LISTA DE CHEQUEO'!#REF!,"✘ NO CUMPLE")</f>
        <v>#REF!</v>
      </c>
      <c r="F48" s="14" t="e">
        <f>'LISTA DE CHEQUEO'!#REF!</f>
        <v>#REF!</v>
      </c>
      <c r="G48" s="14"/>
    </row>
    <row r="49" spans="1:7" ht="25.2" customHeight="1" x14ac:dyDescent="0.3">
      <c r="A49" s="9">
        <v>43</v>
      </c>
      <c r="B49" s="29" t="s">
        <v>131</v>
      </c>
      <c r="C49" s="30" t="s">
        <v>132</v>
      </c>
      <c r="D49" s="16" t="e">
        <f>'LISTA DE CHEQUEO'!#REF!</f>
        <v>#REF!</v>
      </c>
      <c r="E49" s="40" t="e">
        <f>COUNTIF('LISTA DE CHEQUEO'!#REF!,"✘ NO CUMPLE")</f>
        <v>#REF!</v>
      </c>
      <c r="F49" s="14" t="e">
        <f>'LISTA DE CHEQUEO'!#REF!</f>
        <v>#REF!</v>
      </c>
      <c r="G49" s="14"/>
    </row>
    <row r="50" spans="1:7" ht="25.2" customHeight="1" x14ac:dyDescent="0.3">
      <c r="A50" s="9">
        <v>44</v>
      </c>
      <c r="B50" s="23" t="s">
        <v>79</v>
      </c>
      <c r="C50" s="24" t="s">
        <v>134</v>
      </c>
      <c r="D50" s="16" t="e">
        <f>'LISTA DE CHEQUEO'!#REF!</f>
        <v>#REF!</v>
      </c>
      <c r="E50" s="40" t="e">
        <f>COUNTIF('LISTA DE CHEQUEO'!#REF!,"✘ NO CUMPLE")</f>
        <v>#REF!</v>
      </c>
      <c r="F50" s="14" t="e">
        <f>'LISTA DE CHEQUEO'!#REF!</f>
        <v>#REF!</v>
      </c>
      <c r="G50" s="14"/>
    </row>
    <row r="51" spans="1:7" ht="25.2" customHeight="1" x14ac:dyDescent="0.3">
      <c r="A51" s="9">
        <v>45</v>
      </c>
      <c r="B51" s="17" t="s">
        <v>70</v>
      </c>
      <c r="C51" s="18" t="s">
        <v>135</v>
      </c>
      <c r="D51" s="16" t="e">
        <f>'LISTA DE CHEQUEO'!#REF!</f>
        <v>#REF!</v>
      </c>
      <c r="E51" s="40" t="e">
        <f>COUNTIF('LISTA DE CHEQUEO'!#REF!,"✘ NO CUMPLE")</f>
        <v>#REF!</v>
      </c>
      <c r="F51" s="14" t="e">
        <f>'LISTA DE CHEQUEO'!#REF!</f>
        <v>#REF!</v>
      </c>
      <c r="G51" s="14"/>
    </row>
    <row r="52" spans="1:7" ht="25.2" customHeight="1" x14ac:dyDescent="0.3">
      <c r="A52" s="9">
        <v>46</v>
      </c>
      <c r="B52" s="23" t="s">
        <v>79</v>
      </c>
      <c r="C52" s="24" t="s">
        <v>136</v>
      </c>
      <c r="D52" s="16" t="e">
        <f>'LISTA DE CHEQUEO'!#REF!</f>
        <v>#REF!</v>
      </c>
      <c r="E52" s="40" t="e">
        <f>COUNTIF('LISTA DE CHEQUEO'!#REF!,"✘ NO CUMPLE")</f>
        <v>#REF!</v>
      </c>
      <c r="F52" s="14" t="e">
        <f>'LISTA DE CHEQUEO'!#REF!</f>
        <v>#REF!</v>
      </c>
      <c r="G52" s="14"/>
    </row>
    <row r="53" spans="1:7" ht="25.2" customHeight="1" x14ac:dyDescent="0.3">
      <c r="A53" s="9">
        <v>47</v>
      </c>
      <c r="B53" s="23" t="s">
        <v>79</v>
      </c>
      <c r="C53" s="24" t="s">
        <v>137</v>
      </c>
      <c r="D53" s="16" t="e">
        <f>'LISTA DE CHEQUEO'!#REF!</f>
        <v>#REF!</v>
      </c>
      <c r="E53" s="40" t="e">
        <f>COUNTIF('LISTA DE CHEQUEO'!#REF!,"✘ NO CUMPLE")</f>
        <v>#REF!</v>
      </c>
      <c r="F53" s="14" t="e">
        <f>'LISTA DE CHEQUEO'!#REF!</f>
        <v>#REF!</v>
      </c>
      <c r="G53" s="14"/>
    </row>
    <row r="54" spans="1:7" ht="25.2" customHeight="1" x14ac:dyDescent="0.3">
      <c r="A54" s="9">
        <v>48</v>
      </c>
      <c r="B54" s="29" t="s">
        <v>131</v>
      </c>
      <c r="C54" s="30" t="s">
        <v>138</v>
      </c>
      <c r="D54" s="16" t="e">
        <f>'LISTA DE CHEQUEO'!#REF!</f>
        <v>#REF!</v>
      </c>
      <c r="E54" s="40" t="e">
        <f>COUNTIF('LISTA DE CHEQUEO'!#REF!,"✘ NO CUMPLE")</f>
        <v>#REF!</v>
      </c>
      <c r="F54" s="14" t="e">
        <f>'LISTA DE CHEQUEO'!#REF!</f>
        <v>#REF!</v>
      </c>
      <c r="G54" s="14"/>
    </row>
    <row r="55" spans="1:7" ht="25.2" customHeight="1" x14ac:dyDescent="0.3">
      <c r="A55" s="9">
        <v>49</v>
      </c>
      <c r="B55" s="29" t="s">
        <v>131</v>
      </c>
      <c r="C55" s="30" t="s">
        <v>139</v>
      </c>
      <c r="D55" s="16" t="e">
        <f>'LISTA DE CHEQUEO'!#REF!</f>
        <v>#REF!</v>
      </c>
      <c r="E55" s="40" t="e">
        <f>COUNTIF('LISTA DE CHEQUEO'!#REF!,"✘ NO CUMPLE")</f>
        <v>#REF!</v>
      </c>
      <c r="F55" s="14" t="e">
        <f>'LISTA DE CHEQUEO'!#REF!</f>
        <v>#REF!</v>
      </c>
      <c r="G55" s="14"/>
    </row>
    <row r="56" spans="1:7" ht="25.2" customHeight="1" x14ac:dyDescent="0.3">
      <c r="A56" s="9">
        <v>50</v>
      </c>
      <c r="B56" s="17" t="s">
        <v>70</v>
      </c>
      <c r="C56" s="18" t="s">
        <v>140</v>
      </c>
      <c r="D56" s="16" t="e">
        <f>'LISTA DE CHEQUEO'!#REF!</f>
        <v>#REF!</v>
      </c>
      <c r="E56" s="40" t="e">
        <f>COUNTIF('LISTA DE CHEQUEO'!#REF!,"✘ NO CUMPLE")</f>
        <v>#REF!</v>
      </c>
      <c r="F56" s="14" t="e">
        <f>'LISTA DE CHEQUEO'!#REF!</f>
        <v>#REF!</v>
      </c>
      <c r="G56" s="14"/>
    </row>
    <row r="57" spans="1:7" ht="25.2" customHeight="1" x14ac:dyDescent="0.3">
      <c r="A57" s="9">
        <v>51</v>
      </c>
      <c r="B57" s="23" t="s">
        <v>79</v>
      </c>
      <c r="C57" s="24" t="s">
        <v>141</v>
      </c>
      <c r="D57" s="16">
        <f>'LISTA DE CHEQUEO'!Q12</f>
        <v>0</v>
      </c>
      <c r="E57" s="40">
        <f>COUNTIF('LISTA DE CHEQUEO'!I12:M12,"✘ NO CUMPLE")</f>
        <v>0</v>
      </c>
      <c r="F57" s="14">
        <f>'LISTA DE CHEQUEO'!N12</f>
        <v>0</v>
      </c>
      <c r="G57" s="14"/>
    </row>
    <row r="58" spans="1:7" ht="25.2" customHeight="1" x14ac:dyDescent="0.3">
      <c r="A58" s="9">
        <v>52</v>
      </c>
      <c r="B58" s="26" t="s">
        <v>103</v>
      </c>
      <c r="C58" s="27" t="s">
        <v>143</v>
      </c>
      <c r="D58" s="16">
        <f>'LISTA DE CHEQUEO'!Q13</f>
        <v>0</v>
      </c>
      <c r="E58" s="40">
        <f>COUNTIF('LISTA DE CHEQUEO'!I13:M13,"✘ NO CUMPLE")</f>
        <v>1</v>
      </c>
      <c r="F58" s="14" t="str">
        <f>'LISTA DE CHEQUEO'!N13</f>
        <v>Ajustes de información posterior</v>
      </c>
      <c r="G58" s="14"/>
    </row>
  </sheetData>
  <mergeCells count="7">
    <mergeCell ref="A5:G5"/>
    <mergeCell ref="A1:G1"/>
    <mergeCell ref="F2"/>
    <mergeCell ref="B2"/>
    <mergeCell ref="D2"/>
    <mergeCell ref="C2"/>
    <mergeCell ref="E2"/>
  </mergeCells>
  <conditionalFormatting sqref="D7:D58">
    <cfRule type="expression" dxfId="4" priority="1">
      <formula>ISNUMBER(SEARCH("ALERTA",D7))</formula>
    </cfRule>
    <cfRule type="expression" dxfId="3" priority="2">
      <formula>ISNUMBER(SEARCH("SEGUIMIENTO",D7))</formula>
    </cfRule>
    <cfRule type="expression" dxfId="2" priority="3">
      <formula>ISNUMBER(SEARCH("SIN NOVEDAD",D7))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392B"/>
  </sheetPr>
  <dimension ref="A1:J34"/>
  <sheetViews>
    <sheetView showGridLines="0" workbookViewId="0">
      <pane ySplit="4" topLeftCell="A5" activePane="bottomLeft" state="frozen"/>
      <selection pane="bottomLeft" activeCell="A4" sqref="A4"/>
    </sheetView>
  </sheetViews>
  <sheetFormatPr baseColWidth="10" defaultColWidth="8.88671875" defaultRowHeight="14.4" x14ac:dyDescent="0.3"/>
  <cols>
    <col min="1" max="1" width="5" customWidth="1"/>
    <col min="2" max="2" width="28" customWidth="1"/>
    <col min="3" max="3" width="30" customWidth="1"/>
    <col min="4" max="4" width="20" customWidth="1"/>
    <col min="5" max="5" width="30" customWidth="1"/>
    <col min="6" max="6" width="15" customWidth="1"/>
    <col min="7" max="7" width="30" customWidth="1"/>
    <col min="8" max="9" width="20" customWidth="1"/>
    <col min="10" max="10" width="15" customWidth="1"/>
  </cols>
  <sheetData>
    <row r="1" spans="1:10" ht="28.2" customHeight="1" x14ac:dyDescent="0.3">
      <c r="A1" s="43" t="s">
        <v>189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19.95" customHeight="1" x14ac:dyDescent="0.3">
      <c r="A2" s="60" t="s">
        <v>190</v>
      </c>
      <c r="B2" s="45"/>
      <c r="C2" s="45"/>
      <c r="D2" s="45"/>
      <c r="E2" s="45"/>
      <c r="F2" s="45"/>
      <c r="G2" s="45"/>
      <c r="H2" s="45"/>
      <c r="I2" s="45"/>
      <c r="J2" s="45"/>
    </row>
    <row r="4" spans="1:10" ht="30" customHeight="1" x14ac:dyDescent="0.3">
      <c r="A4" s="8" t="s">
        <v>50</v>
      </c>
      <c r="B4" s="8" t="s">
        <v>191</v>
      </c>
      <c r="C4" s="8" t="s">
        <v>52</v>
      </c>
      <c r="D4" s="8" t="s">
        <v>192</v>
      </c>
      <c r="E4" s="8" t="s">
        <v>193</v>
      </c>
      <c r="F4" s="8" t="s">
        <v>194</v>
      </c>
      <c r="G4" s="8" t="s">
        <v>195</v>
      </c>
      <c r="H4" s="8" t="s">
        <v>65</v>
      </c>
      <c r="I4" s="8" t="s">
        <v>196</v>
      </c>
      <c r="J4" s="8" t="s">
        <v>197</v>
      </c>
    </row>
    <row r="5" spans="1:10" ht="25.2" customHeight="1" x14ac:dyDescent="0.3">
      <c r="A5" s="41">
        <v>1</v>
      </c>
      <c r="B5" s="14"/>
      <c r="C5" s="14"/>
      <c r="D5" s="14"/>
      <c r="E5" s="14"/>
      <c r="F5" s="14"/>
      <c r="G5" s="14"/>
      <c r="H5" s="14"/>
      <c r="I5" s="14"/>
      <c r="J5" s="14"/>
    </row>
    <row r="6" spans="1:10" ht="25.2" customHeight="1" x14ac:dyDescent="0.3">
      <c r="A6" s="42">
        <v>2</v>
      </c>
      <c r="B6" s="33"/>
      <c r="C6" s="33"/>
      <c r="D6" s="33"/>
      <c r="E6" s="33"/>
      <c r="F6" s="33"/>
      <c r="G6" s="33"/>
      <c r="H6" s="33"/>
      <c r="I6" s="33"/>
      <c r="J6" s="33"/>
    </row>
    <row r="7" spans="1:10" ht="25.2" customHeight="1" x14ac:dyDescent="0.3">
      <c r="A7" s="41">
        <v>3</v>
      </c>
      <c r="B7" s="14"/>
      <c r="C7" s="14"/>
      <c r="D7" s="14"/>
      <c r="E7" s="14"/>
      <c r="F7" s="14"/>
      <c r="G7" s="14"/>
      <c r="H7" s="14"/>
      <c r="I7" s="14"/>
      <c r="J7" s="14"/>
    </row>
    <row r="8" spans="1:10" ht="25.2" customHeight="1" x14ac:dyDescent="0.3">
      <c r="A8" s="42">
        <v>4</v>
      </c>
      <c r="B8" s="33"/>
      <c r="C8" s="33"/>
      <c r="D8" s="33"/>
      <c r="E8" s="33"/>
      <c r="F8" s="33"/>
      <c r="G8" s="33"/>
      <c r="H8" s="33"/>
      <c r="I8" s="33"/>
      <c r="J8" s="33"/>
    </row>
    <row r="9" spans="1:10" ht="25.2" customHeight="1" x14ac:dyDescent="0.3">
      <c r="A9" s="41">
        <v>5</v>
      </c>
      <c r="B9" s="14"/>
      <c r="C9" s="14"/>
      <c r="D9" s="14"/>
      <c r="E9" s="14"/>
      <c r="F9" s="14"/>
      <c r="G9" s="14"/>
      <c r="H9" s="14"/>
      <c r="I9" s="14"/>
      <c r="J9" s="14"/>
    </row>
    <row r="10" spans="1:10" ht="25.2" customHeight="1" x14ac:dyDescent="0.3">
      <c r="A10" s="42">
        <v>6</v>
      </c>
      <c r="B10" s="33"/>
      <c r="C10" s="33"/>
      <c r="D10" s="33"/>
      <c r="E10" s="33"/>
      <c r="F10" s="33"/>
      <c r="G10" s="33"/>
      <c r="H10" s="33"/>
      <c r="I10" s="33"/>
      <c r="J10" s="33"/>
    </row>
    <row r="11" spans="1:10" ht="25.2" customHeight="1" x14ac:dyDescent="0.3">
      <c r="A11" s="41">
        <v>7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 ht="25.2" customHeight="1" x14ac:dyDescent="0.3">
      <c r="A12" s="42">
        <v>8</v>
      </c>
      <c r="B12" s="33"/>
      <c r="C12" s="33"/>
      <c r="D12" s="33"/>
      <c r="E12" s="33"/>
      <c r="F12" s="33"/>
      <c r="G12" s="33"/>
      <c r="H12" s="33"/>
      <c r="I12" s="33"/>
      <c r="J12" s="33"/>
    </row>
    <row r="13" spans="1:10" ht="25.2" customHeight="1" x14ac:dyDescent="0.3">
      <c r="A13" s="41">
        <v>9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 ht="25.2" customHeight="1" x14ac:dyDescent="0.3">
      <c r="A14" s="42">
        <v>10</v>
      </c>
      <c r="B14" s="33"/>
      <c r="C14" s="33"/>
      <c r="D14" s="33"/>
      <c r="E14" s="33"/>
      <c r="F14" s="33"/>
      <c r="G14" s="33"/>
      <c r="H14" s="33"/>
      <c r="I14" s="33"/>
      <c r="J14" s="33"/>
    </row>
    <row r="15" spans="1:10" ht="25.2" customHeight="1" x14ac:dyDescent="0.3">
      <c r="A15" s="41">
        <v>11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0" ht="25.2" customHeight="1" x14ac:dyDescent="0.3">
      <c r="A16" s="42">
        <v>12</v>
      </c>
      <c r="B16" s="33"/>
      <c r="C16" s="33"/>
      <c r="D16" s="33"/>
      <c r="E16" s="33"/>
      <c r="F16" s="33"/>
      <c r="G16" s="33"/>
      <c r="H16" s="33"/>
      <c r="I16" s="33"/>
      <c r="J16" s="33"/>
    </row>
    <row r="17" spans="1:10" ht="25.2" customHeight="1" x14ac:dyDescent="0.3">
      <c r="A17" s="41">
        <v>13</v>
      </c>
      <c r="B17" s="14"/>
      <c r="C17" s="14"/>
      <c r="D17" s="14"/>
      <c r="E17" s="14"/>
      <c r="F17" s="14"/>
      <c r="G17" s="14"/>
      <c r="H17" s="14"/>
      <c r="I17" s="14"/>
      <c r="J17" s="14"/>
    </row>
    <row r="18" spans="1:10" ht="25.2" customHeight="1" x14ac:dyDescent="0.3">
      <c r="A18" s="42">
        <v>14</v>
      </c>
      <c r="B18" s="33"/>
      <c r="C18" s="33"/>
      <c r="D18" s="33"/>
      <c r="E18" s="33"/>
      <c r="F18" s="33"/>
      <c r="G18" s="33"/>
      <c r="H18" s="33"/>
      <c r="I18" s="33"/>
      <c r="J18" s="33"/>
    </row>
    <row r="19" spans="1:10" ht="25.2" customHeight="1" x14ac:dyDescent="0.3">
      <c r="A19" s="41">
        <v>15</v>
      </c>
      <c r="B19" s="14"/>
      <c r="C19" s="14"/>
      <c r="D19" s="14"/>
      <c r="E19" s="14"/>
      <c r="F19" s="14"/>
      <c r="G19" s="14"/>
      <c r="H19" s="14"/>
      <c r="I19" s="14"/>
      <c r="J19" s="14"/>
    </row>
    <row r="20" spans="1:10" ht="25.2" customHeight="1" x14ac:dyDescent="0.3">
      <c r="A20" s="42">
        <v>16</v>
      </c>
      <c r="B20" s="33"/>
      <c r="C20" s="33"/>
      <c r="D20" s="33"/>
      <c r="E20" s="33"/>
      <c r="F20" s="33"/>
      <c r="G20" s="33"/>
      <c r="H20" s="33"/>
      <c r="I20" s="33"/>
      <c r="J20" s="33"/>
    </row>
    <row r="21" spans="1:10" ht="25.2" customHeight="1" x14ac:dyDescent="0.3">
      <c r="A21" s="41">
        <v>17</v>
      </c>
      <c r="B21" s="14"/>
      <c r="C21" s="14"/>
      <c r="D21" s="14"/>
      <c r="E21" s="14"/>
      <c r="F21" s="14"/>
      <c r="G21" s="14"/>
      <c r="H21" s="14"/>
      <c r="I21" s="14"/>
      <c r="J21" s="14"/>
    </row>
    <row r="22" spans="1:10" ht="25.2" customHeight="1" x14ac:dyDescent="0.3">
      <c r="A22" s="42">
        <v>18</v>
      </c>
      <c r="B22" s="33"/>
      <c r="C22" s="33"/>
      <c r="D22" s="33"/>
      <c r="E22" s="33"/>
      <c r="F22" s="33"/>
      <c r="G22" s="33"/>
      <c r="H22" s="33"/>
      <c r="I22" s="33"/>
      <c r="J22" s="33"/>
    </row>
    <row r="23" spans="1:10" ht="25.2" customHeight="1" x14ac:dyDescent="0.3">
      <c r="A23" s="41">
        <v>19</v>
      </c>
      <c r="B23" s="14"/>
      <c r="C23" s="14"/>
      <c r="D23" s="14"/>
      <c r="E23" s="14"/>
      <c r="F23" s="14"/>
      <c r="G23" s="14"/>
      <c r="H23" s="14"/>
      <c r="I23" s="14"/>
      <c r="J23" s="14"/>
    </row>
    <row r="24" spans="1:10" ht="25.2" customHeight="1" x14ac:dyDescent="0.3">
      <c r="A24" s="42">
        <v>20</v>
      </c>
      <c r="B24" s="33"/>
      <c r="C24" s="33"/>
      <c r="D24" s="33"/>
      <c r="E24" s="33"/>
      <c r="F24" s="33"/>
      <c r="G24" s="33"/>
      <c r="H24" s="33"/>
      <c r="I24" s="33"/>
      <c r="J24" s="33"/>
    </row>
    <row r="25" spans="1:10" ht="25.2" customHeight="1" x14ac:dyDescent="0.3">
      <c r="A25" s="41">
        <v>21</v>
      </c>
      <c r="B25" s="14"/>
      <c r="C25" s="14"/>
      <c r="D25" s="14"/>
      <c r="E25" s="14"/>
      <c r="F25" s="14"/>
      <c r="G25" s="14"/>
      <c r="H25" s="14"/>
      <c r="I25" s="14"/>
      <c r="J25" s="14"/>
    </row>
    <row r="26" spans="1:10" ht="25.2" customHeight="1" x14ac:dyDescent="0.3">
      <c r="A26" s="42">
        <v>22</v>
      </c>
      <c r="B26" s="33"/>
      <c r="C26" s="33"/>
      <c r="D26" s="33"/>
      <c r="E26" s="33"/>
      <c r="F26" s="33"/>
      <c r="G26" s="33"/>
      <c r="H26" s="33"/>
      <c r="I26" s="33"/>
      <c r="J26" s="33"/>
    </row>
    <row r="27" spans="1:10" ht="25.2" customHeight="1" x14ac:dyDescent="0.3">
      <c r="A27" s="41">
        <v>23</v>
      </c>
      <c r="B27" s="14"/>
      <c r="C27" s="14"/>
      <c r="D27" s="14"/>
      <c r="E27" s="14"/>
      <c r="F27" s="14"/>
      <c r="G27" s="14"/>
      <c r="H27" s="14"/>
      <c r="I27" s="14"/>
      <c r="J27" s="14"/>
    </row>
    <row r="28" spans="1:10" ht="25.2" customHeight="1" x14ac:dyDescent="0.3">
      <c r="A28" s="42">
        <v>24</v>
      </c>
      <c r="B28" s="33"/>
      <c r="C28" s="33"/>
      <c r="D28" s="33"/>
      <c r="E28" s="33"/>
      <c r="F28" s="33"/>
      <c r="G28" s="33"/>
      <c r="H28" s="33"/>
      <c r="I28" s="33"/>
      <c r="J28" s="33"/>
    </row>
    <row r="29" spans="1:10" ht="25.2" customHeight="1" x14ac:dyDescent="0.3">
      <c r="A29" s="41">
        <v>25</v>
      </c>
      <c r="B29" s="14"/>
      <c r="C29" s="14"/>
      <c r="D29" s="14"/>
      <c r="E29" s="14"/>
      <c r="F29" s="14"/>
      <c r="G29" s="14"/>
      <c r="H29" s="14"/>
      <c r="I29" s="14"/>
      <c r="J29" s="14"/>
    </row>
    <row r="30" spans="1:10" ht="25.2" customHeight="1" x14ac:dyDescent="0.3">
      <c r="A30" s="42">
        <v>26</v>
      </c>
      <c r="B30" s="33"/>
      <c r="C30" s="33"/>
      <c r="D30" s="33"/>
      <c r="E30" s="33"/>
      <c r="F30" s="33"/>
      <c r="G30" s="33"/>
      <c r="H30" s="33"/>
      <c r="I30" s="33"/>
      <c r="J30" s="33"/>
    </row>
    <row r="31" spans="1:10" ht="25.2" customHeight="1" x14ac:dyDescent="0.3">
      <c r="A31" s="41">
        <v>27</v>
      </c>
      <c r="B31" s="14"/>
      <c r="C31" s="14"/>
      <c r="D31" s="14"/>
      <c r="E31" s="14"/>
      <c r="F31" s="14"/>
      <c r="G31" s="14"/>
      <c r="H31" s="14"/>
      <c r="I31" s="14"/>
      <c r="J31" s="14"/>
    </row>
    <row r="32" spans="1:10" ht="25.2" customHeight="1" x14ac:dyDescent="0.3">
      <c r="A32" s="42">
        <v>28</v>
      </c>
      <c r="B32" s="33"/>
      <c r="C32" s="33"/>
      <c r="D32" s="33"/>
      <c r="E32" s="33"/>
      <c r="F32" s="33"/>
      <c r="G32" s="33"/>
      <c r="H32" s="33"/>
      <c r="I32" s="33"/>
      <c r="J32" s="33"/>
    </row>
    <row r="33" spans="1:10" ht="25.2" customHeight="1" x14ac:dyDescent="0.3">
      <c r="A33" s="41">
        <v>29</v>
      </c>
      <c r="B33" s="14"/>
      <c r="C33" s="14"/>
      <c r="D33" s="14"/>
      <c r="E33" s="14"/>
      <c r="F33" s="14"/>
      <c r="G33" s="14"/>
      <c r="H33" s="14"/>
      <c r="I33" s="14"/>
      <c r="J33" s="14"/>
    </row>
    <row r="34" spans="1:10" ht="25.2" customHeight="1" x14ac:dyDescent="0.3">
      <c r="A34" s="42">
        <v>30</v>
      </c>
      <c r="B34" s="33"/>
      <c r="C34" s="33"/>
      <c r="D34" s="33"/>
      <c r="E34" s="33"/>
      <c r="F34" s="33"/>
      <c r="G34" s="33"/>
      <c r="H34" s="33"/>
      <c r="I34" s="33"/>
      <c r="J34" s="33"/>
    </row>
  </sheetData>
  <mergeCells count="2">
    <mergeCell ref="A1:J1"/>
    <mergeCell ref="A2:J2"/>
  </mergeCells>
  <dataValidations count="3">
    <dataValidation type="list" allowBlank="1" sqref="D5 D6 D7 D8 D9 D10 D11 D12 D13 D14 D15 D16 D17 D18 D19 D20 D21 D22 D23 D24 D25 D26 D27 D28 D29 D30 D31 D32 D33 D34" xr:uid="{00000000-0002-0000-0500-000000000000}">
      <formula1>"I-Oportunidad,II-Completitud,III-Consistencia,IV-Precisión,V-Protocolo"</formula1>
    </dataValidation>
    <dataValidation type="list" allowBlank="1" sqref="F5 F6 F7 F8 F9 F10 F11 F12 F13 F14 F15 F16 F17 F18 F19 F20 F21 F22 F23 F24 F25 F26 F27 F28 F29 F30 F31 F32 F33 F34" xr:uid="{00000000-0002-0000-0500-000001000000}">
      <formula1>"CRÍTICO ★,MODERADO,BAJO"</formula1>
    </dataValidation>
    <dataValidation type="list" allowBlank="1" sqref="J5 J6 J7 J8 J9 J10 J11 J12 J13 J14 J15 J16 J17 J18 J19 J20 J21 J22 J23 J24 J25 J26 J27 J28 J29 J30 J31 J32 J33 J34" xr:uid="{00000000-0002-0000-0500-000002000000}">
      <formula1>"PENDIENTE,EN CORRECCIÓN,CORREGIDO,VENCIDO SIN CORRECCIÓN"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55555"/>
  </sheetPr>
  <dimension ref="A1:J64"/>
  <sheetViews>
    <sheetView showGridLines="0" workbookViewId="0">
      <selection sqref="A1:J1"/>
    </sheetView>
  </sheetViews>
  <sheetFormatPr baseColWidth="10" defaultColWidth="8.88671875" defaultRowHeight="14.4" x14ac:dyDescent="0.3"/>
  <cols>
    <col min="1" max="1" width="5" customWidth="1"/>
    <col min="2" max="2" width="14" customWidth="1"/>
    <col min="3" max="3" width="28" customWidth="1"/>
    <col min="4" max="4" width="30" customWidth="1"/>
    <col min="5" max="5" width="18" customWidth="1"/>
    <col min="6" max="9" width="15" customWidth="1"/>
    <col min="10" max="10" width="30" customWidth="1"/>
  </cols>
  <sheetData>
    <row r="1" spans="1:10" ht="28.2" customHeight="1" x14ac:dyDescent="0.3">
      <c r="A1" s="43" t="s">
        <v>198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19.95" customHeight="1" x14ac:dyDescent="0.3">
      <c r="A2" s="60" t="s">
        <v>199</v>
      </c>
      <c r="B2" s="45"/>
      <c r="C2" s="45"/>
      <c r="D2" s="45"/>
      <c r="E2" s="45"/>
      <c r="F2" s="45"/>
      <c r="G2" s="45"/>
      <c r="H2" s="45"/>
      <c r="I2" s="45"/>
      <c r="J2" s="45"/>
    </row>
    <row r="4" spans="1:10" ht="30" customHeight="1" x14ac:dyDescent="0.3">
      <c r="A4" s="8" t="s">
        <v>50</v>
      </c>
      <c r="B4" s="8" t="s">
        <v>200</v>
      </c>
      <c r="C4" s="8" t="s">
        <v>51</v>
      </c>
      <c r="D4" s="8" t="s">
        <v>201</v>
      </c>
      <c r="E4" s="8" t="s">
        <v>66</v>
      </c>
      <c r="F4" s="8" t="s">
        <v>202</v>
      </c>
      <c r="G4" s="8" t="s">
        <v>203</v>
      </c>
      <c r="H4" s="8" t="s">
        <v>204</v>
      </c>
      <c r="I4" s="8" t="s">
        <v>205</v>
      </c>
      <c r="J4" s="8" t="s">
        <v>206</v>
      </c>
    </row>
    <row r="5" spans="1:10" ht="22.2" customHeight="1" x14ac:dyDescent="0.3">
      <c r="A5" s="41">
        <v>1</v>
      </c>
      <c r="B5" s="14"/>
      <c r="C5" s="14"/>
      <c r="D5" s="14"/>
      <c r="E5" s="14"/>
      <c r="F5" s="14"/>
      <c r="G5" s="14"/>
      <c r="H5" s="14"/>
      <c r="I5" s="14"/>
      <c r="J5" s="14"/>
    </row>
    <row r="6" spans="1:10" ht="22.2" customHeight="1" x14ac:dyDescent="0.3">
      <c r="A6" s="42">
        <v>2</v>
      </c>
      <c r="B6" s="33"/>
      <c r="C6" s="33"/>
      <c r="D6" s="33"/>
      <c r="E6" s="33"/>
      <c r="F6" s="33"/>
      <c r="G6" s="33"/>
      <c r="H6" s="33"/>
      <c r="I6" s="33"/>
      <c r="J6" s="33"/>
    </row>
    <row r="7" spans="1:10" ht="22.2" customHeight="1" x14ac:dyDescent="0.3">
      <c r="A7" s="41">
        <v>3</v>
      </c>
      <c r="B7" s="14"/>
      <c r="C7" s="14"/>
      <c r="D7" s="14"/>
      <c r="E7" s="14"/>
      <c r="F7" s="14"/>
      <c r="G7" s="14"/>
      <c r="H7" s="14"/>
      <c r="I7" s="14"/>
      <c r="J7" s="14"/>
    </row>
    <row r="8" spans="1:10" ht="22.2" customHeight="1" x14ac:dyDescent="0.3">
      <c r="A8" s="42">
        <v>4</v>
      </c>
      <c r="B8" s="33"/>
      <c r="C8" s="33"/>
      <c r="D8" s="33"/>
      <c r="E8" s="33"/>
      <c r="F8" s="33"/>
      <c r="G8" s="33"/>
      <c r="H8" s="33"/>
      <c r="I8" s="33"/>
      <c r="J8" s="33"/>
    </row>
    <row r="9" spans="1:10" ht="22.2" customHeight="1" x14ac:dyDescent="0.3">
      <c r="A9" s="41">
        <v>5</v>
      </c>
      <c r="B9" s="14"/>
      <c r="C9" s="14"/>
      <c r="D9" s="14"/>
      <c r="E9" s="14"/>
      <c r="F9" s="14"/>
      <c r="G9" s="14"/>
      <c r="H9" s="14"/>
      <c r="I9" s="14"/>
      <c r="J9" s="14"/>
    </row>
    <row r="10" spans="1:10" ht="22.2" customHeight="1" x14ac:dyDescent="0.3">
      <c r="A10" s="42">
        <v>6</v>
      </c>
      <c r="B10" s="33"/>
      <c r="C10" s="33"/>
      <c r="D10" s="33"/>
      <c r="E10" s="33"/>
      <c r="F10" s="33"/>
      <c r="G10" s="33"/>
      <c r="H10" s="33"/>
      <c r="I10" s="33"/>
      <c r="J10" s="33"/>
    </row>
    <row r="11" spans="1:10" ht="22.2" customHeight="1" x14ac:dyDescent="0.3">
      <c r="A11" s="41">
        <v>7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 ht="22.2" customHeight="1" x14ac:dyDescent="0.3">
      <c r="A12" s="42">
        <v>8</v>
      </c>
      <c r="B12" s="33"/>
      <c r="C12" s="33"/>
      <c r="D12" s="33"/>
      <c r="E12" s="33"/>
      <c r="F12" s="33"/>
      <c r="G12" s="33"/>
      <c r="H12" s="33"/>
      <c r="I12" s="33"/>
      <c r="J12" s="33"/>
    </row>
    <row r="13" spans="1:10" ht="22.2" customHeight="1" x14ac:dyDescent="0.3">
      <c r="A13" s="41">
        <v>9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 ht="22.2" customHeight="1" x14ac:dyDescent="0.3">
      <c r="A14" s="42">
        <v>10</v>
      </c>
      <c r="B14" s="33"/>
      <c r="C14" s="33"/>
      <c r="D14" s="33"/>
      <c r="E14" s="33"/>
      <c r="F14" s="33"/>
      <c r="G14" s="33"/>
      <c r="H14" s="33"/>
      <c r="I14" s="33"/>
      <c r="J14" s="33"/>
    </row>
    <row r="15" spans="1:10" ht="22.2" customHeight="1" x14ac:dyDescent="0.3">
      <c r="A15" s="41">
        <v>11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0" ht="22.2" customHeight="1" x14ac:dyDescent="0.3">
      <c r="A16" s="42">
        <v>12</v>
      </c>
      <c r="B16" s="33"/>
      <c r="C16" s="33"/>
      <c r="D16" s="33"/>
      <c r="E16" s="33"/>
      <c r="F16" s="33"/>
      <c r="G16" s="33"/>
      <c r="H16" s="33"/>
      <c r="I16" s="33"/>
      <c r="J16" s="33"/>
    </row>
    <row r="17" spans="1:10" ht="22.2" customHeight="1" x14ac:dyDescent="0.3">
      <c r="A17" s="41">
        <v>13</v>
      </c>
      <c r="B17" s="14"/>
      <c r="C17" s="14"/>
      <c r="D17" s="14"/>
      <c r="E17" s="14"/>
      <c r="F17" s="14"/>
      <c r="G17" s="14"/>
      <c r="H17" s="14"/>
      <c r="I17" s="14"/>
      <c r="J17" s="14"/>
    </row>
    <row r="18" spans="1:10" ht="22.2" customHeight="1" x14ac:dyDescent="0.3">
      <c r="A18" s="42">
        <v>14</v>
      </c>
      <c r="B18" s="33"/>
      <c r="C18" s="33"/>
      <c r="D18" s="33"/>
      <c r="E18" s="33"/>
      <c r="F18" s="33"/>
      <c r="G18" s="33"/>
      <c r="H18" s="33"/>
      <c r="I18" s="33"/>
      <c r="J18" s="33"/>
    </row>
    <row r="19" spans="1:10" ht="22.2" customHeight="1" x14ac:dyDescent="0.3">
      <c r="A19" s="41">
        <v>15</v>
      </c>
      <c r="B19" s="14"/>
      <c r="C19" s="14"/>
      <c r="D19" s="14"/>
      <c r="E19" s="14"/>
      <c r="F19" s="14"/>
      <c r="G19" s="14"/>
      <c r="H19" s="14"/>
      <c r="I19" s="14"/>
      <c r="J19" s="14"/>
    </row>
    <row r="20" spans="1:10" ht="22.2" customHeight="1" x14ac:dyDescent="0.3">
      <c r="A20" s="42">
        <v>16</v>
      </c>
      <c r="B20" s="33"/>
      <c r="C20" s="33"/>
      <c r="D20" s="33"/>
      <c r="E20" s="33"/>
      <c r="F20" s="33"/>
      <c r="G20" s="33"/>
      <c r="H20" s="33"/>
      <c r="I20" s="33"/>
      <c r="J20" s="33"/>
    </row>
    <row r="21" spans="1:10" ht="22.2" customHeight="1" x14ac:dyDescent="0.3">
      <c r="A21" s="41">
        <v>17</v>
      </c>
      <c r="B21" s="14"/>
      <c r="C21" s="14"/>
      <c r="D21" s="14"/>
      <c r="E21" s="14"/>
      <c r="F21" s="14"/>
      <c r="G21" s="14"/>
      <c r="H21" s="14"/>
      <c r="I21" s="14"/>
      <c r="J21" s="14"/>
    </row>
    <row r="22" spans="1:10" ht="22.2" customHeight="1" x14ac:dyDescent="0.3">
      <c r="A22" s="42">
        <v>18</v>
      </c>
      <c r="B22" s="33"/>
      <c r="C22" s="33"/>
      <c r="D22" s="33"/>
      <c r="E22" s="33"/>
      <c r="F22" s="33"/>
      <c r="G22" s="33"/>
      <c r="H22" s="33"/>
      <c r="I22" s="33"/>
      <c r="J22" s="33"/>
    </row>
    <row r="23" spans="1:10" ht="22.2" customHeight="1" x14ac:dyDescent="0.3">
      <c r="A23" s="41">
        <v>19</v>
      </c>
      <c r="B23" s="14"/>
      <c r="C23" s="14"/>
      <c r="D23" s="14"/>
      <c r="E23" s="14"/>
      <c r="F23" s="14"/>
      <c r="G23" s="14"/>
      <c r="H23" s="14"/>
      <c r="I23" s="14"/>
      <c r="J23" s="14"/>
    </row>
    <row r="24" spans="1:10" ht="22.2" customHeight="1" x14ac:dyDescent="0.3">
      <c r="A24" s="42">
        <v>20</v>
      </c>
      <c r="B24" s="33"/>
      <c r="C24" s="33"/>
      <c r="D24" s="33"/>
      <c r="E24" s="33"/>
      <c r="F24" s="33"/>
      <c r="G24" s="33"/>
      <c r="H24" s="33"/>
      <c r="I24" s="33"/>
      <c r="J24" s="33"/>
    </row>
    <row r="25" spans="1:10" ht="22.2" customHeight="1" x14ac:dyDescent="0.3">
      <c r="A25" s="41">
        <v>21</v>
      </c>
      <c r="B25" s="14"/>
      <c r="C25" s="14"/>
      <c r="D25" s="14"/>
      <c r="E25" s="14"/>
      <c r="F25" s="14"/>
      <c r="G25" s="14"/>
      <c r="H25" s="14"/>
      <c r="I25" s="14"/>
      <c r="J25" s="14"/>
    </row>
    <row r="26" spans="1:10" ht="22.2" customHeight="1" x14ac:dyDescent="0.3">
      <c r="A26" s="42">
        <v>22</v>
      </c>
      <c r="B26" s="33"/>
      <c r="C26" s="33"/>
      <c r="D26" s="33"/>
      <c r="E26" s="33"/>
      <c r="F26" s="33"/>
      <c r="G26" s="33"/>
      <c r="H26" s="33"/>
      <c r="I26" s="33"/>
      <c r="J26" s="33"/>
    </row>
    <row r="27" spans="1:10" ht="22.2" customHeight="1" x14ac:dyDescent="0.3">
      <c r="A27" s="41">
        <v>23</v>
      </c>
      <c r="B27" s="14"/>
      <c r="C27" s="14"/>
      <c r="D27" s="14"/>
      <c r="E27" s="14"/>
      <c r="F27" s="14"/>
      <c r="G27" s="14"/>
      <c r="H27" s="14"/>
      <c r="I27" s="14"/>
      <c r="J27" s="14"/>
    </row>
    <row r="28" spans="1:10" ht="22.2" customHeight="1" x14ac:dyDescent="0.3">
      <c r="A28" s="42">
        <v>24</v>
      </c>
      <c r="B28" s="33"/>
      <c r="C28" s="33"/>
      <c r="D28" s="33"/>
      <c r="E28" s="33"/>
      <c r="F28" s="33"/>
      <c r="G28" s="33"/>
      <c r="H28" s="33"/>
      <c r="I28" s="33"/>
      <c r="J28" s="33"/>
    </row>
    <row r="29" spans="1:10" ht="22.2" customHeight="1" x14ac:dyDescent="0.3">
      <c r="A29" s="41">
        <v>25</v>
      </c>
      <c r="B29" s="14"/>
      <c r="C29" s="14"/>
      <c r="D29" s="14"/>
      <c r="E29" s="14"/>
      <c r="F29" s="14"/>
      <c r="G29" s="14"/>
      <c r="H29" s="14"/>
      <c r="I29" s="14"/>
      <c r="J29" s="14"/>
    </row>
    <row r="30" spans="1:10" ht="22.2" customHeight="1" x14ac:dyDescent="0.3">
      <c r="A30" s="42">
        <v>26</v>
      </c>
      <c r="B30" s="33"/>
      <c r="C30" s="33"/>
      <c r="D30" s="33"/>
      <c r="E30" s="33"/>
      <c r="F30" s="33"/>
      <c r="G30" s="33"/>
      <c r="H30" s="33"/>
      <c r="I30" s="33"/>
      <c r="J30" s="33"/>
    </row>
    <row r="31" spans="1:10" ht="22.2" customHeight="1" x14ac:dyDescent="0.3">
      <c r="A31" s="41">
        <v>27</v>
      </c>
      <c r="B31" s="14"/>
      <c r="C31" s="14"/>
      <c r="D31" s="14"/>
      <c r="E31" s="14"/>
      <c r="F31" s="14"/>
      <c r="G31" s="14"/>
      <c r="H31" s="14"/>
      <c r="I31" s="14"/>
      <c r="J31" s="14"/>
    </row>
    <row r="32" spans="1:10" ht="22.2" customHeight="1" x14ac:dyDescent="0.3">
      <c r="A32" s="42">
        <v>28</v>
      </c>
      <c r="B32" s="33"/>
      <c r="C32" s="33"/>
      <c r="D32" s="33"/>
      <c r="E32" s="33"/>
      <c r="F32" s="33"/>
      <c r="G32" s="33"/>
      <c r="H32" s="33"/>
      <c r="I32" s="33"/>
      <c r="J32" s="33"/>
    </row>
    <row r="33" spans="1:10" ht="22.2" customHeight="1" x14ac:dyDescent="0.3">
      <c r="A33" s="41">
        <v>29</v>
      </c>
      <c r="B33" s="14"/>
      <c r="C33" s="14"/>
      <c r="D33" s="14"/>
      <c r="E33" s="14"/>
      <c r="F33" s="14"/>
      <c r="G33" s="14"/>
      <c r="H33" s="14"/>
      <c r="I33" s="14"/>
      <c r="J33" s="14"/>
    </row>
    <row r="34" spans="1:10" ht="22.2" customHeight="1" x14ac:dyDescent="0.3">
      <c r="A34" s="42">
        <v>30</v>
      </c>
      <c r="B34" s="33"/>
      <c r="C34" s="33"/>
      <c r="D34" s="33"/>
      <c r="E34" s="33"/>
      <c r="F34" s="33"/>
      <c r="G34" s="33"/>
      <c r="H34" s="33"/>
      <c r="I34" s="33"/>
      <c r="J34" s="33"/>
    </row>
    <row r="35" spans="1:10" ht="22.2" customHeight="1" x14ac:dyDescent="0.3">
      <c r="A35" s="41">
        <v>31</v>
      </c>
      <c r="B35" s="14"/>
      <c r="C35" s="14"/>
      <c r="D35" s="14"/>
      <c r="E35" s="14"/>
      <c r="F35" s="14"/>
      <c r="G35" s="14"/>
      <c r="H35" s="14"/>
      <c r="I35" s="14"/>
      <c r="J35" s="14"/>
    </row>
    <row r="36" spans="1:10" ht="22.2" customHeight="1" x14ac:dyDescent="0.3">
      <c r="A36" s="42">
        <v>32</v>
      </c>
      <c r="B36" s="33"/>
      <c r="C36" s="33"/>
      <c r="D36" s="33"/>
      <c r="E36" s="33"/>
      <c r="F36" s="33"/>
      <c r="G36" s="33"/>
      <c r="H36" s="33"/>
      <c r="I36" s="33"/>
      <c r="J36" s="33"/>
    </row>
    <row r="37" spans="1:10" ht="22.2" customHeight="1" x14ac:dyDescent="0.3">
      <c r="A37" s="41">
        <v>33</v>
      </c>
      <c r="B37" s="14"/>
      <c r="C37" s="14"/>
      <c r="D37" s="14"/>
      <c r="E37" s="14"/>
      <c r="F37" s="14"/>
      <c r="G37" s="14"/>
      <c r="H37" s="14"/>
      <c r="I37" s="14"/>
      <c r="J37" s="14"/>
    </row>
    <row r="38" spans="1:10" ht="22.2" customHeight="1" x14ac:dyDescent="0.3">
      <c r="A38" s="42">
        <v>34</v>
      </c>
      <c r="B38" s="33"/>
      <c r="C38" s="33"/>
      <c r="D38" s="33"/>
      <c r="E38" s="33"/>
      <c r="F38" s="33"/>
      <c r="G38" s="33"/>
      <c r="H38" s="33"/>
      <c r="I38" s="33"/>
      <c r="J38" s="33"/>
    </row>
    <row r="39" spans="1:10" ht="22.2" customHeight="1" x14ac:dyDescent="0.3">
      <c r="A39" s="41">
        <v>35</v>
      </c>
      <c r="B39" s="14"/>
      <c r="C39" s="14"/>
      <c r="D39" s="14"/>
      <c r="E39" s="14"/>
      <c r="F39" s="14"/>
      <c r="G39" s="14"/>
      <c r="H39" s="14"/>
      <c r="I39" s="14"/>
      <c r="J39" s="14"/>
    </row>
    <row r="40" spans="1:10" ht="22.2" customHeight="1" x14ac:dyDescent="0.3">
      <c r="A40" s="42">
        <v>36</v>
      </c>
      <c r="B40" s="33"/>
      <c r="C40" s="33"/>
      <c r="D40" s="33"/>
      <c r="E40" s="33"/>
      <c r="F40" s="33"/>
      <c r="G40" s="33"/>
      <c r="H40" s="33"/>
      <c r="I40" s="33"/>
      <c r="J40" s="33"/>
    </row>
    <row r="41" spans="1:10" ht="22.2" customHeight="1" x14ac:dyDescent="0.3">
      <c r="A41" s="41">
        <v>37</v>
      </c>
      <c r="B41" s="14"/>
      <c r="C41" s="14"/>
      <c r="D41" s="14"/>
      <c r="E41" s="14"/>
      <c r="F41" s="14"/>
      <c r="G41" s="14"/>
      <c r="H41" s="14"/>
      <c r="I41" s="14"/>
      <c r="J41" s="14"/>
    </row>
    <row r="42" spans="1:10" ht="22.2" customHeight="1" x14ac:dyDescent="0.3">
      <c r="A42" s="42">
        <v>38</v>
      </c>
      <c r="B42" s="33"/>
      <c r="C42" s="33"/>
      <c r="D42" s="33"/>
      <c r="E42" s="33"/>
      <c r="F42" s="33"/>
      <c r="G42" s="33"/>
      <c r="H42" s="33"/>
      <c r="I42" s="33"/>
      <c r="J42" s="33"/>
    </row>
    <row r="43" spans="1:10" ht="22.2" customHeight="1" x14ac:dyDescent="0.3">
      <c r="A43" s="41">
        <v>39</v>
      </c>
      <c r="B43" s="14"/>
      <c r="C43" s="14"/>
      <c r="D43" s="14"/>
      <c r="E43" s="14"/>
      <c r="F43" s="14"/>
      <c r="G43" s="14"/>
      <c r="H43" s="14"/>
      <c r="I43" s="14"/>
      <c r="J43" s="14"/>
    </row>
    <row r="44" spans="1:10" ht="22.2" customHeight="1" x14ac:dyDescent="0.3">
      <c r="A44" s="42">
        <v>40</v>
      </c>
      <c r="B44" s="33"/>
      <c r="C44" s="33"/>
      <c r="D44" s="33"/>
      <c r="E44" s="33"/>
      <c r="F44" s="33"/>
      <c r="G44" s="33"/>
      <c r="H44" s="33"/>
      <c r="I44" s="33"/>
      <c r="J44" s="33"/>
    </row>
    <row r="45" spans="1:10" ht="22.2" customHeight="1" x14ac:dyDescent="0.3">
      <c r="A45" s="41">
        <v>41</v>
      </c>
      <c r="B45" s="14"/>
      <c r="C45" s="14"/>
      <c r="D45" s="14"/>
      <c r="E45" s="14"/>
      <c r="F45" s="14"/>
      <c r="G45" s="14"/>
      <c r="H45" s="14"/>
      <c r="I45" s="14"/>
      <c r="J45" s="14"/>
    </row>
    <row r="46" spans="1:10" ht="22.2" customHeight="1" x14ac:dyDescent="0.3">
      <c r="A46" s="42">
        <v>42</v>
      </c>
      <c r="B46" s="33"/>
      <c r="C46" s="33"/>
      <c r="D46" s="33"/>
      <c r="E46" s="33"/>
      <c r="F46" s="33"/>
      <c r="G46" s="33"/>
      <c r="H46" s="33"/>
      <c r="I46" s="33"/>
      <c r="J46" s="33"/>
    </row>
    <row r="47" spans="1:10" ht="22.2" customHeight="1" x14ac:dyDescent="0.3">
      <c r="A47" s="41">
        <v>43</v>
      </c>
      <c r="B47" s="14"/>
      <c r="C47" s="14"/>
      <c r="D47" s="14"/>
      <c r="E47" s="14"/>
      <c r="F47" s="14"/>
      <c r="G47" s="14"/>
      <c r="H47" s="14"/>
      <c r="I47" s="14"/>
      <c r="J47" s="14"/>
    </row>
    <row r="48" spans="1:10" ht="22.2" customHeight="1" x14ac:dyDescent="0.3">
      <c r="A48" s="42">
        <v>44</v>
      </c>
      <c r="B48" s="33"/>
      <c r="C48" s="33"/>
      <c r="D48" s="33"/>
      <c r="E48" s="33"/>
      <c r="F48" s="33"/>
      <c r="G48" s="33"/>
      <c r="H48" s="33"/>
      <c r="I48" s="33"/>
      <c r="J48" s="33"/>
    </row>
    <row r="49" spans="1:10" ht="22.2" customHeight="1" x14ac:dyDescent="0.3">
      <c r="A49" s="41">
        <v>45</v>
      </c>
      <c r="B49" s="14"/>
      <c r="C49" s="14"/>
      <c r="D49" s="14"/>
      <c r="E49" s="14"/>
      <c r="F49" s="14"/>
      <c r="G49" s="14"/>
      <c r="H49" s="14"/>
      <c r="I49" s="14"/>
      <c r="J49" s="14"/>
    </row>
    <row r="50" spans="1:10" ht="22.2" customHeight="1" x14ac:dyDescent="0.3">
      <c r="A50" s="42">
        <v>46</v>
      </c>
      <c r="B50" s="33"/>
      <c r="C50" s="33"/>
      <c r="D50" s="33"/>
      <c r="E50" s="33"/>
      <c r="F50" s="33"/>
      <c r="G50" s="33"/>
      <c r="H50" s="33"/>
      <c r="I50" s="33"/>
      <c r="J50" s="33"/>
    </row>
    <row r="51" spans="1:10" ht="22.2" customHeight="1" x14ac:dyDescent="0.3">
      <c r="A51" s="41">
        <v>47</v>
      </c>
      <c r="B51" s="14"/>
      <c r="C51" s="14"/>
      <c r="D51" s="14"/>
      <c r="E51" s="14"/>
      <c r="F51" s="14"/>
      <c r="G51" s="14"/>
      <c r="H51" s="14"/>
      <c r="I51" s="14"/>
      <c r="J51" s="14"/>
    </row>
    <row r="52" spans="1:10" ht="22.2" customHeight="1" x14ac:dyDescent="0.3">
      <c r="A52" s="42">
        <v>48</v>
      </c>
      <c r="B52" s="33"/>
      <c r="C52" s="33"/>
      <c r="D52" s="33"/>
      <c r="E52" s="33"/>
      <c r="F52" s="33"/>
      <c r="G52" s="33"/>
      <c r="H52" s="33"/>
      <c r="I52" s="33"/>
      <c r="J52" s="33"/>
    </row>
    <row r="53" spans="1:10" ht="22.2" customHeight="1" x14ac:dyDescent="0.3">
      <c r="A53" s="41">
        <v>49</v>
      </c>
      <c r="B53" s="14"/>
      <c r="C53" s="14"/>
      <c r="D53" s="14"/>
      <c r="E53" s="14"/>
      <c r="F53" s="14"/>
      <c r="G53" s="14"/>
      <c r="H53" s="14"/>
      <c r="I53" s="14"/>
      <c r="J53" s="14"/>
    </row>
    <row r="54" spans="1:10" ht="22.2" customHeight="1" x14ac:dyDescent="0.3">
      <c r="A54" s="42">
        <v>50</v>
      </c>
      <c r="B54" s="33"/>
      <c r="C54" s="33"/>
      <c r="D54" s="33"/>
      <c r="E54" s="33"/>
      <c r="F54" s="33"/>
      <c r="G54" s="33"/>
      <c r="H54" s="33"/>
      <c r="I54" s="33"/>
      <c r="J54" s="33"/>
    </row>
    <row r="55" spans="1:10" ht="22.2" customHeight="1" x14ac:dyDescent="0.3">
      <c r="A55" s="41">
        <v>51</v>
      </c>
      <c r="B55" s="14"/>
      <c r="C55" s="14"/>
      <c r="D55" s="14"/>
      <c r="E55" s="14"/>
      <c r="F55" s="14"/>
      <c r="G55" s="14"/>
      <c r="H55" s="14"/>
      <c r="I55" s="14"/>
      <c r="J55" s="14"/>
    </row>
    <row r="56" spans="1:10" ht="22.2" customHeight="1" x14ac:dyDescent="0.3">
      <c r="A56" s="42">
        <v>52</v>
      </c>
      <c r="B56" s="33"/>
      <c r="C56" s="33"/>
      <c r="D56" s="33"/>
      <c r="E56" s="33"/>
      <c r="F56" s="33"/>
      <c r="G56" s="33"/>
      <c r="H56" s="33"/>
      <c r="I56" s="33"/>
      <c r="J56" s="33"/>
    </row>
    <row r="57" spans="1:10" ht="22.2" customHeight="1" x14ac:dyDescent="0.3">
      <c r="A57" s="41">
        <v>53</v>
      </c>
      <c r="B57" s="14"/>
      <c r="C57" s="14"/>
      <c r="D57" s="14"/>
      <c r="E57" s="14"/>
      <c r="F57" s="14"/>
      <c r="G57" s="14"/>
      <c r="H57" s="14"/>
      <c r="I57" s="14"/>
      <c r="J57" s="14"/>
    </row>
    <row r="58" spans="1:10" ht="22.2" customHeight="1" x14ac:dyDescent="0.3">
      <c r="A58" s="42">
        <v>54</v>
      </c>
      <c r="B58" s="33"/>
      <c r="C58" s="33"/>
      <c r="D58" s="33"/>
      <c r="E58" s="33"/>
      <c r="F58" s="33"/>
      <c r="G58" s="33"/>
      <c r="H58" s="33"/>
      <c r="I58" s="33"/>
      <c r="J58" s="33"/>
    </row>
    <row r="59" spans="1:10" ht="22.2" customHeight="1" x14ac:dyDescent="0.3">
      <c r="A59" s="41">
        <v>55</v>
      </c>
      <c r="B59" s="14"/>
      <c r="C59" s="14"/>
      <c r="D59" s="14"/>
      <c r="E59" s="14"/>
      <c r="F59" s="14"/>
      <c r="G59" s="14"/>
      <c r="H59" s="14"/>
      <c r="I59" s="14"/>
      <c r="J59" s="14"/>
    </row>
    <row r="60" spans="1:10" ht="22.2" customHeight="1" x14ac:dyDescent="0.3">
      <c r="A60" s="42">
        <v>56</v>
      </c>
      <c r="B60" s="33"/>
      <c r="C60" s="33"/>
      <c r="D60" s="33"/>
      <c r="E60" s="33"/>
      <c r="F60" s="33"/>
      <c r="G60" s="33"/>
      <c r="H60" s="33"/>
      <c r="I60" s="33"/>
      <c r="J60" s="33"/>
    </row>
    <row r="61" spans="1:10" ht="22.2" customHeight="1" x14ac:dyDescent="0.3">
      <c r="A61" s="41">
        <v>57</v>
      </c>
      <c r="B61" s="14"/>
      <c r="C61" s="14"/>
      <c r="D61" s="14"/>
      <c r="E61" s="14"/>
      <c r="F61" s="14"/>
      <c r="G61" s="14"/>
      <c r="H61" s="14"/>
      <c r="I61" s="14"/>
      <c r="J61" s="14"/>
    </row>
    <row r="62" spans="1:10" ht="22.2" customHeight="1" x14ac:dyDescent="0.3">
      <c r="A62" s="42">
        <v>58</v>
      </c>
      <c r="B62" s="33"/>
      <c r="C62" s="33"/>
      <c r="D62" s="33"/>
      <c r="E62" s="33"/>
      <c r="F62" s="33"/>
      <c r="G62" s="33"/>
      <c r="H62" s="33"/>
      <c r="I62" s="33"/>
      <c r="J62" s="33"/>
    </row>
    <row r="63" spans="1:10" ht="22.2" customHeight="1" x14ac:dyDescent="0.3">
      <c r="A63" s="41">
        <v>59</v>
      </c>
      <c r="B63" s="14"/>
      <c r="C63" s="14"/>
      <c r="D63" s="14"/>
      <c r="E63" s="14"/>
      <c r="F63" s="14"/>
      <c r="G63" s="14"/>
      <c r="H63" s="14"/>
      <c r="I63" s="14"/>
      <c r="J63" s="14"/>
    </row>
    <row r="64" spans="1:10" ht="22.2" customHeight="1" x14ac:dyDescent="0.3">
      <c r="A64" s="42">
        <v>60</v>
      </c>
      <c r="B64" s="33"/>
      <c r="C64" s="33"/>
      <c r="D64" s="33"/>
      <c r="E64" s="33"/>
      <c r="F64" s="33"/>
      <c r="G64" s="33"/>
      <c r="H64" s="33"/>
      <c r="I64" s="33"/>
      <c r="J64" s="33"/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73EF1-38AB-444D-819C-10FE149A8955}">
  <sheetPr filterMode="1"/>
  <dimension ref="A1:D53"/>
  <sheetViews>
    <sheetView workbookViewId="0">
      <selection activeCell="B8" sqref="B8"/>
    </sheetView>
  </sheetViews>
  <sheetFormatPr baseColWidth="10" defaultRowHeight="14.4" x14ac:dyDescent="0.3"/>
  <cols>
    <col min="1" max="1" width="39.5546875" bestFit="1" customWidth="1"/>
    <col min="2" max="2" width="45.44140625" bestFit="1" customWidth="1"/>
    <col min="3" max="3" width="50.109375" bestFit="1" customWidth="1"/>
    <col min="4" max="4" width="20.77734375" bestFit="1" customWidth="1"/>
  </cols>
  <sheetData>
    <row r="1" spans="1:4" x14ac:dyDescent="0.3">
      <c r="A1" s="67" t="s">
        <v>461</v>
      </c>
      <c r="B1" s="67" t="s">
        <v>462</v>
      </c>
      <c r="C1" s="67" t="s">
        <v>463</v>
      </c>
      <c r="D1" s="67" t="s">
        <v>464</v>
      </c>
    </row>
    <row r="2" spans="1:4" hidden="1" x14ac:dyDescent="0.3">
      <c r="A2" s="68" t="s">
        <v>465</v>
      </c>
      <c r="B2" s="68" t="s">
        <v>68</v>
      </c>
      <c r="C2" s="68" t="s">
        <v>68</v>
      </c>
      <c r="D2" s="68" t="s">
        <v>466</v>
      </c>
    </row>
    <row r="3" spans="1:4" hidden="1" x14ac:dyDescent="0.3">
      <c r="A3" s="69" t="s">
        <v>70</v>
      </c>
      <c r="B3" s="68" t="s">
        <v>71</v>
      </c>
      <c r="C3" s="68" t="s">
        <v>71</v>
      </c>
      <c r="D3" s="68" t="s">
        <v>467</v>
      </c>
    </row>
    <row r="4" spans="1:4" hidden="1" x14ac:dyDescent="0.3">
      <c r="A4" s="68" t="s">
        <v>73</v>
      </c>
      <c r="B4" s="68" t="s">
        <v>74</v>
      </c>
      <c r="C4" s="68" t="s">
        <v>74</v>
      </c>
      <c r="D4" s="68" t="s">
        <v>466</v>
      </c>
    </row>
    <row r="5" spans="1:4" hidden="1" x14ac:dyDescent="0.3">
      <c r="A5" s="68" t="s">
        <v>41</v>
      </c>
      <c r="B5" s="68" t="s">
        <v>468</v>
      </c>
      <c r="C5" s="68" t="s">
        <v>75</v>
      </c>
      <c r="D5" s="68" t="s">
        <v>469</v>
      </c>
    </row>
    <row r="6" spans="1:4" hidden="1" x14ac:dyDescent="0.3">
      <c r="A6" s="68" t="s">
        <v>70</v>
      </c>
      <c r="B6" s="68" t="s">
        <v>76</v>
      </c>
      <c r="C6" s="68" t="s">
        <v>76</v>
      </c>
      <c r="D6" s="68" t="s">
        <v>466</v>
      </c>
    </row>
    <row r="7" spans="1:4" hidden="1" x14ac:dyDescent="0.3">
      <c r="A7" s="68" t="s">
        <v>465</v>
      </c>
      <c r="B7" s="68" t="s">
        <v>77</v>
      </c>
      <c r="C7" s="68" t="s">
        <v>78</v>
      </c>
      <c r="D7" s="68" t="s">
        <v>466</v>
      </c>
    </row>
    <row r="8" spans="1:4" x14ac:dyDescent="0.3">
      <c r="A8" s="68" t="s">
        <v>41</v>
      </c>
      <c r="B8" s="68" t="s">
        <v>470</v>
      </c>
      <c r="C8" s="68" t="s">
        <v>188</v>
      </c>
      <c r="D8" s="68" t="s">
        <v>469</v>
      </c>
    </row>
    <row r="9" spans="1:4" hidden="1" x14ac:dyDescent="0.3">
      <c r="A9" s="68" t="s">
        <v>79</v>
      </c>
      <c r="B9" s="68" t="s">
        <v>80</v>
      </c>
      <c r="C9" s="68" t="s">
        <v>80</v>
      </c>
      <c r="D9" s="68" t="s">
        <v>471</v>
      </c>
    </row>
    <row r="10" spans="1:4" hidden="1" x14ac:dyDescent="0.3">
      <c r="A10" s="68" t="s">
        <v>79</v>
      </c>
      <c r="B10" s="68" t="s">
        <v>81</v>
      </c>
      <c r="C10" s="68" t="s">
        <v>82</v>
      </c>
      <c r="D10" s="68" t="s">
        <v>471</v>
      </c>
    </row>
    <row r="11" spans="1:4" hidden="1" x14ac:dyDescent="0.3">
      <c r="A11" s="68" t="s">
        <v>79</v>
      </c>
      <c r="B11" s="68" t="s">
        <v>83</v>
      </c>
      <c r="C11" s="68" t="s">
        <v>84</v>
      </c>
      <c r="D11" s="68" t="s">
        <v>471</v>
      </c>
    </row>
    <row r="12" spans="1:4" hidden="1" x14ac:dyDescent="0.3">
      <c r="A12" s="68" t="s">
        <v>79</v>
      </c>
      <c r="B12" s="68" t="s">
        <v>83</v>
      </c>
      <c r="C12" s="68" t="s">
        <v>86</v>
      </c>
      <c r="D12" s="68" t="s">
        <v>471</v>
      </c>
    </row>
    <row r="13" spans="1:4" hidden="1" x14ac:dyDescent="0.3">
      <c r="A13" s="68" t="s">
        <v>79</v>
      </c>
      <c r="B13" s="68" t="s">
        <v>81</v>
      </c>
      <c r="C13" s="68" t="s">
        <v>87</v>
      </c>
      <c r="D13" s="68" t="s">
        <v>471</v>
      </c>
    </row>
    <row r="14" spans="1:4" hidden="1" x14ac:dyDescent="0.3">
      <c r="A14" s="69" t="s">
        <v>73</v>
      </c>
      <c r="B14" s="68" t="s">
        <v>88</v>
      </c>
      <c r="C14" s="68" t="s">
        <v>89</v>
      </c>
      <c r="D14" s="68" t="s">
        <v>471</v>
      </c>
    </row>
    <row r="15" spans="1:4" hidden="1" x14ac:dyDescent="0.3">
      <c r="A15" s="68" t="s">
        <v>465</v>
      </c>
      <c r="B15" s="68" t="s">
        <v>90</v>
      </c>
      <c r="C15" s="68" t="s">
        <v>91</v>
      </c>
      <c r="D15" s="68" t="s">
        <v>466</v>
      </c>
    </row>
    <row r="16" spans="1:4" hidden="1" x14ac:dyDescent="0.3">
      <c r="A16" s="68" t="s">
        <v>41</v>
      </c>
      <c r="B16" s="68" t="s">
        <v>92</v>
      </c>
      <c r="C16" s="68" t="s">
        <v>92</v>
      </c>
      <c r="D16" s="68" t="s">
        <v>466</v>
      </c>
    </row>
    <row r="17" spans="1:4" x14ac:dyDescent="0.3">
      <c r="A17" s="68" t="s">
        <v>41</v>
      </c>
      <c r="B17" s="68" t="s">
        <v>470</v>
      </c>
      <c r="C17" s="68" t="s">
        <v>93</v>
      </c>
      <c r="D17" s="68" t="s">
        <v>469</v>
      </c>
    </row>
    <row r="18" spans="1:4" hidden="1" x14ac:dyDescent="0.3">
      <c r="A18" s="68" t="s">
        <v>41</v>
      </c>
      <c r="B18" s="68" t="s">
        <v>94</v>
      </c>
      <c r="C18" s="68" t="s">
        <v>95</v>
      </c>
      <c r="D18" s="68" t="s">
        <v>467</v>
      </c>
    </row>
    <row r="19" spans="1:4" hidden="1" x14ac:dyDescent="0.3">
      <c r="A19" s="69" t="s">
        <v>73</v>
      </c>
      <c r="B19" s="68" t="s">
        <v>88</v>
      </c>
      <c r="C19" s="68" t="s">
        <v>96</v>
      </c>
      <c r="D19" s="68" t="s">
        <v>471</v>
      </c>
    </row>
    <row r="20" spans="1:4" hidden="1" x14ac:dyDescent="0.3">
      <c r="A20" s="69" t="s">
        <v>73</v>
      </c>
      <c r="B20" s="68" t="s">
        <v>88</v>
      </c>
      <c r="C20" s="68" t="s">
        <v>97</v>
      </c>
      <c r="D20" s="68" t="s">
        <v>471</v>
      </c>
    </row>
    <row r="21" spans="1:4" hidden="1" x14ac:dyDescent="0.3">
      <c r="A21" s="68" t="s">
        <v>79</v>
      </c>
      <c r="B21" s="68" t="s">
        <v>98</v>
      </c>
      <c r="C21" s="68" t="s">
        <v>99</v>
      </c>
      <c r="D21" s="68" t="s">
        <v>471</v>
      </c>
    </row>
    <row r="22" spans="1:4" hidden="1" x14ac:dyDescent="0.3">
      <c r="A22" s="68" t="s">
        <v>41</v>
      </c>
      <c r="B22" s="68" t="s">
        <v>94</v>
      </c>
      <c r="C22" s="68" t="s">
        <v>100</v>
      </c>
      <c r="D22" s="68" t="s">
        <v>467</v>
      </c>
    </row>
    <row r="23" spans="1:4" hidden="1" x14ac:dyDescent="0.3">
      <c r="A23" s="68" t="s">
        <v>41</v>
      </c>
      <c r="B23" s="68" t="s">
        <v>94</v>
      </c>
      <c r="C23" s="68" t="s">
        <v>101</v>
      </c>
      <c r="D23" s="68" t="s">
        <v>467</v>
      </c>
    </row>
    <row r="24" spans="1:4" hidden="1" x14ac:dyDescent="0.3">
      <c r="A24" s="69" t="s">
        <v>73</v>
      </c>
      <c r="B24" s="68" t="s">
        <v>88</v>
      </c>
      <c r="C24" s="68" t="s">
        <v>102</v>
      </c>
      <c r="D24" s="68" t="s">
        <v>471</v>
      </c>
    </row>
    <row r="25" spans="1:4" hidden="1" x14ac:dyDescent="0.3">
      <c r="A25" s="69" t="s">
        <v>103</v>
      </c>
      <c r="B25" s="68" t="s">
        <v>104</v>
      </c>
      <c r="C25" s="68" t="s">
        <v>104</v>
      </c>
      <c r="D25" s="68" t="s">
        <v>466</v>
      </c>
    </row>
    <row r="26" spans="1:4" hidden="1" x14ac:dyDescent="0.3">
      <c r="A26" s="68" t="s">
        <v>79</v>
      </c>
      <c r="B26" s="68" t="s">
        <v>81</v>
      </c>
      <c r="C26" s="68" t="s">
        <v>105</v>
      </c>
      <c r="D26" s="68" t="s">
        <v>471</v>
      </c>
    </row>
    <row r="27" spans="1:4" hidden="1" x14ac:dyDescent="0.3">
      <c r="A27" s="68" t="s">
        <v>79</v>
      </c>
      <c r="B27" s="68" t="s">
        <v>106</v>
      </c>
      <c r="C27" s="68" t="s">
        <v>107</v>
      </c>
      <c r="D27" s="68" t="s">
        <v>469</v>
      </c>
    </row>
    <row r="28" spans="1:4" hidden="1" x14ac:dyDescent="0.3">
      <c r="A28" s="68" t="s">
        <v>73</v>
      </c>
      <c r="B28" s="68" t="s">
        <v>109</v>
      </c>
      <c r="C28" s="68" t="s">
        <v>109</v>
      </c>
      <c r="D28" s="68" t="s">
        <v>469</v>
      </c>
    </row>
    <row r="29" spans="1:4" hidden="1" x14ac:dyDescent="0.3">
      <c r="A29" s="68" t="s">
        <v>79</v>
      </c>
      <c r="B29" s="68" t="s">
        <v>110</v>
      </c>
      <c r="C29" s="68" t="s">
        <v>111</v>
      </c>
      <c r="D29" s="68" t="s">
        <v>471</v>
      </c>
    </row>
    <row r="30" spans="1:4" hidden="1" x14ac:dyDescent="0.3">
      <c r="A30" s="68" t="s">
        <v>73</v>
      </c>
      <c r="B30" s="68" t="s">
        <v>472</v>
      </c>
      <c r="C30" s="68" t="s">
        <v>116</v>
      </c>
      <c r="D30" s="68" t="s">
        <v>471</v>
      </c>
    </row>
    <row r="31" spans="1:4" hidden="1" x14ac:dyDescent="0.3">
      <c r="A31" s="68" t="s">
        <v>41</v>
      </c>
      <c r="B31" s="68" t="s">
        <v>117</v>
      </c>
      <c r="C31" s="68" t="s">
        <v>117</v>
      </c>
      <c r="D31" s="68" t="s">
        <v>469</v>
      </c>
    </row>
    <row r="32" spans="1:4" hidden="1" x14ac:dyDescent="0.3">
      <c r="A32" s="68" t="s">
        <v>465</v>
      </c>
      <c r="B32" s="68" t="s">
        <v>77</v>
      </c>
      <c r="C32" s="68" t="s">
        <v>118</v>
      </c>
      <c r="D32" s="68" t="s">
        <v>466</v>
      </c>
    </row>
    <row r="33" spans="1:4" hidden="1" x14ac:dyDescent="0.3">
      <c r="A33" s="68" t="s">
        <v>73</v>
      </c>
      <c r="B33" s="68" t="s">
        <v>472</v>
      </c>
      <c r="C33" s="68" t="s">
        <v>119</v>
      </c>
      <c r="D33" s="68" t="s">
        <v>471</v>
      </c>
    </row>
    <row r="34" spans="1:4" hidden="1" x14ac:dyDescent="0.3">
      <c r="A34" s="68" t="s">
        <v>79</v>
      </c>
      <c r="B34" s="68" t="s">
        <v>98</v>
      </c>
      <c r="C34" s="68" t="s">
        <v>120</v>
      </c>
      <c r="D34" s="68" t="s">
        <v>471</v>
      </c>
    </row>
    <row r="35" spans="1:4" hidden="1" x14ac:dyDescent="0.3">
      <c r="A35" s="68" t="s">
        <v>79</v>
      </c>
      <c r="B35" s="68" t="s">
        <v>121</v>
      </c>
      <c r="C35" s="68" t="s">
        <v>122</v>
      </c>
      <c r="D35" s="68" t="s">
        <v>471</v>
      </c>
    </row>
    <row r="36" spans="1:4" hidden="1" x14ac:dyDescent="0.3">
      <c r="A36" s="68" t="s">
        <v>79</v>
      </c>
      <c r="B36" s="68" t="s">
        <v>106</v>
      </c>
      <c r="C36" s="68" t="s">
        <v>123</v>
      </c>
      <c r="D36" s="68" t="s">
        <v>469</v>
      </c>
    </row>
    <row r="37" spans="1:4" hidden="1" x14ac:dyDescent="0.3">
      <c r="A37" s="68" t="s">
        <v>465</v>
      </c>
      <c r="B37" s="68" t="s">
        <v>90</v>
      </c>
      <c r="C37" s="68" t="s">
        <v>124</v>
      </c>
      <c r="D37" s="68" t="s">
        <v>466</v>
      </c>
    </row>
    <row r="38" spans="1:4" hidden="1" x14ac:dyDescent="0.3">
      <c r="A38" s="69" t="s">
        <v>73</v>
      </c>
      <c r="B38" s="68" t="s">
        <v>125</v>
      </c>
      <c r="C38" s="68" t="s">
        <v>125</v>
      </c>
      <c r="D38" s="68" t="s">
        <v>469</v>
      </c>
    </row>
    <row r="39" spans="1:4" hidden="1" x14ac:dyDescent="0.3">
      <c r="A39" s="68" t="s">
        <v>465</v>
      </c>
      <c r="B39" s="68" t="s">
        <v>90</v>
      </c>
      <c r="C39" s="68" t="s">
        <v>126</v>
      </c>
      <c r="D39" s="68" t="s">
        <v>466</v>
      </c>
    </row>
    <row r="40" spans="1:4" hidden="1" x14ac:dyDescent="0.3">
      <c r="A40" s="68" t="s">
        <v>79</v>
      </c>
      <c r="B40" s="68" t="s">
        <v>121</v>
      </c>
      <c r="C40" s="68" t="s">
        <v>127</v>
      </c>
      <c r="D40" s="68" t="s">
        <v>471</v>
      </c>
    </row>
    <row r="41" spans="1:4" hidden="1" x14ac:dyDescent="0.3">
      <c r="A41" s="68" t="s">
        <v>73</v>
      </c>
      <c r="B41" s="68" t="s">
        <v>121</v>
      </c>
      <c r="C41" s="70" t="s">
        <v>128</v>
      </c>
      <c r="D41" s="68" t="s">
        <v>471</v>
      </c>
    </row>
    <row r="42" spans="1:4" hidden="1" x14ac:dyDescent="0.3">
      <c r="A42" s="68" t="s">
        <v>73</v>
      </c>
      <c r="B42" s="69" t="s">
        <v>110</v>
      </c>
      <c r="C42" s="68" t="s">
        <v>129</v>
      </c>
      <c r="D42" s="68" t="s">
        <v>471</v>
      </c>
    </row>
    <row r="43" spans="1:4" hidden="1" x14ac:dyDescent="0.3">
      <c r="A43" s="68" t="s">
        <v>73</v>
      </c>
      <c r="B43" s="68" t="s">
        <v>110</v>
      </c>
      <c r="C43" s="68" t="s">
        <v>130</v>
      </c>
      <c r="D43" s="68" t="s">
        <v>471</v>
      </c>
    </row>
    <row r="44" spans="1:4" hidden="1" x14ac:dyDescent="0.3">
      <c r="A44" s="69" t="s">
        <v>131</v>
      </c>
      <c r="B44" s="68" t="s">
        <v>473</v>
      </c>
      <c r="C44" s="68" t="s">
        <v>132</v>
      </c>
      <c r="D44" s="68" t="s">
        <v>471</v>
      </c>
    </row>
    <row r="45" spans="1:4" hidden="1" x14ac:dyDescent="0.3">
      <c r="A45" s="68" t="s">
        <v>79</v>
      </c>
      <c r="B45" s="68" t="s">
        <v>133</v>
      </c>
      <c r="C45" s="68" t="s">
        <v>134</v>
      </c>
      <c r="D45" s="68" t="s">
        <v>467</v>
      </c>
    </row>
    <row r="46" spans="1:4" hidden="1" x14ac:dyDescent="0.3">
      <c r="A46" s="69" t="s">
        <v>70</v>
      </c>
      <c r="B46" s="68" t="s">
        <v>133</v>
      </c>
      <c r="C46" s="68" t="s">
        <v>135</v>
      </c>
      <c r="D46" s="68" t="s">
        <v>467</v>
      </c>
    </row>
    <row r="47" spans="1:4" hidden="1" x14ac:dyDescent="0.3">
      <c r="A47" s="68" t="s">
        <v>79</v>
      </c>
      <c r="B47" s="68" t="s">
        <v>121</v>
      </c>
      <c r="C47" s="68" t="s">
        <v>136</v>
      </c>
      <c r="D47" s="68" t="s">
        <v>471</v>
      </c>
    </row>
    <row r="48" spans="1:4" hidden="1" x14ac:dyDescent="0.3">
      <c r="A48" s="68" t="s">
        <v>79</v>
      </c>
      <c r="B48" s="68" t="s">
        <v>81</v>
      </c>
      <c r="C48" s="68" t="s">
        <v>137</v>
      </c>
      <c r="D48" s="68" t="s">
        <v>471</v>
      </c>
    </row>
    <row r="49" spans="1:4" hidden="1" x14ac:dyDescent="0.3">
      <c r="A49" s="69" t="s">
        <v>131</v>
      </c>
      <c r="B49" s="68" t="s">
        <v>473</v>
      </c>
      <c r="C49" s="68" t="s">
        <v>138</v>
      </c>
      <c r="D49" s="68" t="s">
        <v>471</v>
      </c>
    </row>
    <row r="50" spans="1:4" hidden="1" x14ac:dyDescent="0.3">
      <c r="A50" s="69" t="s">
        <v>131</v>
      </c>
      <c r="B50" s="68" t="s">
        <v>473</v>
      </c>
      <c r="C50" s="68" t="s">
        <v>139</v>
      </c>
      <c r="D50" s="68" t="s">
        <v>471</v>
      </c>
    </row>
    <row r="51" spans="1:4" hidden="1" x14ac:dyDescent="0.3">
      <c r="A51" s="69" t="s">
        <v>70</v>
      </c>
      <c r="B51" s="68" t="s">
        <v>133</v>
      </c>
      <c r="C51" s="71" t="s">
        <v>140</v>
      </c>
      <c r="D51" s="68" t="s">
        <v>467</v>
      </c>
    </row>
    <row r="52" spans="1:4" hidden="1" x14ac:dyDescent="0.3">
      <c r="A52" s="69" t="s">
        <v>79</v>
      </c>
      <c r="B52" s="72" t="s">
        <v>110</v>
      </c>
      <c r="C52" s="72" t="s">
        <v>141</v>
      </c>
      <c r="D52" s="68" t="s">
        <v>471</v>
      </c>
    </row>
    <row r="53" spans="1:4" ht="43.2" hidden="1" x14ac:dyDescent="0.3">
      <c r="A53" s="69" t="s">
        <v>103</v>
      </c>
      <c r="B53" s="68" t="s">
        <v>98</v>
      </c>
      <c r="C53" s="73" t="s">
        <v>143</v>
      </c>
      <c r="D53" s="68" t="s">
        <v>471</v>
      </c>
    </row>
  </sheetData>
  <autoFilter ref="A1:D53" xr:uid="{77C73EF1-38AB-444D-819C-10FE149A8955}">
    <filterColumn colId="1">
      <filters>
        <filter val="PLANIFICACIÓN  Y MEJORA DEL SISTEMA INTEGRADO"/>
      </filters>
    </filterColumn>
  </autoFilter>
  <conditionalFormatting sqref="B3">
    <cfRule type="duplicateValues" dxfId="1" priority="1"/>
  </conditionalFormatting>
  <conditionalFormatting sqref="C2:C51">
    <cfRule type="duplicateValues" dxfId="0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5CF67-1586-4FD1-BBD7-F175B8E5B8A9}">
  <dimension ref="A1:C133"/>
  <sheetViews>
    <sheetView topLeftCell="A15" workbookViewId="0">
      <selection activeCell="B18" sqref="B18"/>
    </sheetView>
  </sheetViews>
  <sheetFormatPr baseColWidth="10" defaultRowHeight="14.4" x14ac:dyDescent="0.3"/>
  <cols>
    <col min="2" max="2" width="125.109375" bestFit="1" customWidth="1"/>
  </cols>
  <sheetData>
    <row r="1" spans="1:3" ht="21" x14ac:dyDescent="0.3">
      <c r="A1" s="64" t="s">
        <v>460</v>
      </c>
    </row>
    <row r="2" spans="1:3" x14ac:dyDescent="0.3">
      <c r="A2" s="62" t="s">
        <v>207</v>
      </c>
      <c r="B2" s="62">
        <v>3</v>
      </c>
    </row>
    <row r="3" spans="1:3" x14ac:dyDescent="0.3">
      <c r="A3" s="62" t="s">
        <v>208</v>
      </c>
      <c r="B3" s="62">
        <v>7</v>
      </c>
    </row>
    <row r="4" spans="1:3" x14ac:dyDescent="0.3">
      <c r="A4" s="66" t="s">
        <v>246</v>
      </c>
      <c r="B4" s="66" t="s">
        <v>94</v>
      </c>
      <c r="C4" s="66">
        <v>25</v>
      </c>
    </row>
    <row r="5" spans="1:3" x14ac:dyDescent="0.3">
      <c r="A5" s="66" t="s">
        <v>247</v>
      </c>
      <c r="B5" s="66" t="s">
        <v>248</v>
      </c>
      <c r="C5" s="66">
        <v>35</v>
      </c>
    </row>
    <row r="6" spans="1:3" x14ac:dyDescent="0.3">
      <c r="A6" s="66" t="s">
        <v>249</v>
      </c>
      <c r="B6" s="66" t="s">
        <v>250</v>
      </c>
      <c r="C6" s="66">
        <v>37</v>
      </c>
    </row>
    <row r="7" spans="1:3" x14ac:dyDescent="0.3">
      <c r="A7" s="66" t="s">
        <v>251</v>
      </c>
      <c r="B7" s="66" t="s">
        <v>252</v>
      </c>
      <c r="C7" s="66">
        <v>38</v>
      </c>
    </row>
    <row r="8" spans="1:3" x14ac:dyDescent="0.3">
      <c r="A8" s="62" t="s">
        <v>253</v>
      </c>
      <c r="B8" s="62" t="s">
        <v>254</v>
      </c>
      <c r="C8" s="62">
        <v>40</v>
      </c>
    </row>
    <row r="9" spans="1:3" x14ac:dyDescent="0.3">
      <c r="A9" s="65" t="s">
        <v>255</v>
      </c>
      <c r="B9" s="65" t="s">
        <v>256</v>
      </c>
      <c r="C9" s="65">
        <v>41</v>
      </c>
    </row>
    <row r="10" spans="1:3" x14ac:dyDescent="0.3">
      <c r="A10" s="66" t="s">
        <v>210</v>
      </c>
      <c r="B10" s="66">
        <v>41</v>
      </c>
    </row>
    <row r="11" spans="1:3" x14ac:dyDescent="0.3">
      <c r="A11" s="66" t="s">
        <v>257</v>
      </c>
      <c r="B11" s="66">
        <v>42</v>
      </c>
    </row>
    <row r="12" spans="1:3" x14ac:dyDescent="0.3">
      <c r="A12" s="66" t="s">
        <v>211</v>
      </c>
      <c r="B12" s="66">
        <v>42</v>
      </c>
    </row>
    <row r="13" spans="1:3" x14ac:dyDescent="0.3">
      <c r="A13" s="66" t="s">
        <v>212</v>
      </c>
      <c r="B13" s="66">
        <v>44</v>
      </c>
    </row>
    <row r="14" spans="1:3" ht="129.6" x14ac:dyDescent="0.3">
      <c r="A14" s="61" t="s">
        <v>258</v>
      </c>
      <c r="B14" s="61">
        <v>44</v>
      </c>
    </row>
    <row r="15" spans="1:3" ht="172.8" x14ac:dyDescent="0.3">
      <c r="A15" s="61" t="s">
        <v>213</v>
      </c>
      <c r="B15" s="61">
        <v>45</v>
      </c>
    </row>
    <row r="16" spans="1:3" ht="158.4" x14ac:dyDescent="0.3">
      <c r="A16" s="61" t="s">
        <v>214</v>
      </c>
      <c r="B16" s="61">
        <v>45</v>
      </c>
    </row>
    <row r="17" spans="1:3" x14ac:dyDescent="0.3">
      <c r="A17" s="66" t="s">
        <v>259</v>
      </c>
      <c r="B17" s="66">
        <v>46</v>
      </c>
    </row>
    <row r="18" spans="1:3" x14ac:dyDescent="0.3">
      <c r="A18" s="66" t="s">
        <v>260</v>
      </c>
      <c r="B18" s="66" t="s">
        <v>110</v>
      </c>
      <c r="C18" s="66">
        <v>46</v>
      </c>
    </row>
    <row r="19" spans="1:3" x14ac:dyDescent="0.3">
      <c r="A19" s="66" t="s">
        <v>261</v>
      </c>
      <c r="B19" s="66" t="s">
        <v>262</v>
      </c>
      <c r="C19" s="66">
        <v>53</v>
      </c>
    </row>
    <row r="20" spans="1:3" x14ac:dyDescent="0.3">
      <c r="A20" s="66" t="s">
        <v>263</v>
      </c>
      <c r="B20" s="66" t="s">
        <v>264</v>
      </c>
      <c r="C20" s="66">
        <v>60</v>
      </c>
    </row>
    <row r="21" spans="1:3" x14ac:dyDescent="0.3">
      <c r="A21" s="66" t="s">
        <v>265</v>
      </c>
      <c r="B21" s="66" t="s">
        <v>266</v>
      </c>
      <c r="C21" s="66">
        <v>64</v>
      </c>
    </row>
    <row r="22" spans="1:3" x14ac:dyDescent="0.3">
      <c r="A22" s="66" t="s">
        <v>267</v>
      </c>
      <c r="B22" s="66" t="s">
        <v>268</v>
      </c>
      <c r="C22" s="66">
        <v>67</v>
      </c>
    </row>
    <row r="23" spans="1:3" x14ac:dyDescent="0.3">
      <c r="A23" s="66" t="s">
        <v>269</v>
      </c>
      <c r="B23" s="66" t="s">
        <v>270</v>
      </c>
      <c r="C23" s="66">
        <v>69</v>
      </c>
    </row>
    <row r="24" spans="1:3" x14ac:dyDescent="0.3">
      <c r="A24" s="66" t="s">
        <v>271</v>
      </c>
      <c r="B24" s="66" t="s">
        <v>272</v>
      </c>
      <c r="C24" s="66">
        <v>71</v>
      </c>
    </row>
    <row r="25" spans="1:3" x14ac:dyDescent="0.3">
      <c r="A25" s="66" t="s">
        <v>273</v>
      </c>
      <c r="B25" s="66" t="s">
        <v>274</v>
      </c>
      <c r="C25" s="66">
        <v>71</v>
      </c>
    </row>
    <row r="26" spans="1:3" ht="72" x14ac:dyDescent="0.3">
      <c r="A26" s="61" t="s">
        <v>275</v>
      </c>
      <c r="B26" s="61" t="s">
        <v>276</v>
      </c>
      <c r="C26" s="61">
        <v>75</v>
      </c>
    </row>
    <row r="27" spans="1:3" x14ac:dyDescent="0.3">
      <c r="A27" s="61" t="s">
        <v>277</v>
      </c>
      <c r="B27" s="61" t="s">
        <v>278</v>
      </c>
      <c r="C27" s="61">
        <v>81</v>
      </c>
    </row>
    <row r="28" spans="1:3" x14ac:dyDescent="0.3">
      <c r="A28" s="61" t="s">
        <v>279</v>
      </c>
      <c r="B28" s="61" t="s">
        <v>280</v>
      </c>
      <c r="C28" s="61">
        <v>83</v>
      </c>
    </row>
    <row r="29" spans="1:3" x14ac:dyDescent="0.3">
      <c r="A29" s="65" t="s">
        <v>219</v>
      </c>
      <c r="B29" s="65">
        <v>84</v>
      </c>
    </row>
    <row r="30" spans="1:3" x14ac:dyDescent="0.3">
      <c r="A30" s="66" t="s">
        <v>281</v>
      </c>
      <c r="B30" s="66" t="s">
        <v>282</v>
      </c>
      <c r="C30" s="66">
        <v>84</v>
      </c>
    </row>
    <row r="31" spans="1:3" x14ac:dyDescent="0.3">
      <c r="A31" s="66" t="s">
        <v>283</v>
      </c>
      <c r="B31" s="66" t="s">
        <v>284</v>
      </c>
      <c r="C31" s="66">
        <v>85</v>
      </c>
    </row>
    <row r="32" spans="1:3" x14ac:dyDescent="0.3">
      <c r="A32" s="66" t="s">
        <v>285</v>
      </c>
      <c r="B32" s="66" t="s">
        <v>286</v>
      </c>
      <c r="C32" s="66">
        <v>87</v>
      </c>
    </row>
    <row r="33" spans="1:3" ht="72" x14ac:dyDescent="0.3">
      <c r="A33" s="61" t="s">
        <v>287</v>
      </c>
      <c r="B33" s="61" t="s">
        <v>288</v>
      </c>
      <c r="C33" s="61">
        <v>87</v>
      </c>
    </row>
    <row r="34" spans="1:3" x14ac:dyDescent="0.3">
      <c r="A34" s="66" t="s">
        <v>289</v>
      </c>
      <c r="B34" s="66" t="s">
        <v>290</v>
      </c>
      <c r="C34" s="66">
        <v>91</v>
      </c>
    </row>
    <row r="35" spans="1:3" x14ac:dyDescent="0.3">
      <c r="A35" s="66" t="s">
        <v>291</v>
      </c>
      <c r="B35" s="66" t="s">
        <v>292</v>
      </c>
      <c r="C35" s="66">
        <v>92</v>
      </c>
    </row>
    <row r="36" spans="1:3" ht="43.2" x14ac:dyDescent="0.3">
      <c r="A36" s="61" t="s">
        <v>287</v>
      </c>
      <c r="B36" s="61" t="s">
        <v>293</v>
      </c>
      <c r="C36" s="61">
        <v>93</v>
      </c>
    </row>
    <row r="37" spans="1:3" x14ac:dyDescent="0.3">
      <c r="A37" s="62" t="s">
        <v>294</v>
      </c>
      <c r="B37" s="62" t="s">
        <v>295</v>
      </c>
      <c r="C37" s="62">
        <v>93</v>
      </c>
    </row>
    <row r="38" spans="1:3" x14ac:dyDescent="0.3">
      <c r="A38" s="65" t="s">
        <v>220</v>
      </c>
      <c r="B38" s="65">
        <v>93</v>
      </c>
    </row>
    <row r="39" spans="1:3" x14ac:dyDescent="0.3">
      <c r="A39" s="66" t="s">
        <v>296</v>
      </c>
      <c r="B39" s="66" t="s">
        <v>297</v>
      </c>
      <c r="C39" s="66">
        <v>94</v>
      </c>
    </row>
    <row r="40" spans="1:3" ht="28.8" x14ac:dyDescent="0.3">
      <c r="A40" s="61" t="s">
        <v>298</v>
      </c>
      <c r="B40" s="61" t="s">
        <v>299</v>
      </c>
      <c r="C40" s="61">
        <v>94</v>
      </c>
    </row>
    <row r="41" spans="1:3" ht="57.6" x14ac:dyDescent="0.3">
      <c r="A41" s="61" t="s">
        <v>300</v>
      </c>
      <c r="B41" s="61" t="s">
        <v>301</v>
      </c>
      <c r="C41" s="61">
        <v>100</v>
      </c>
    </row>
    <row r="42" spans="1:3" x14ac:dyDescent="0.3">
      <c r="A42" s="66" t="s">
        <v>302</v>
      </c>
      <c r="B42" s="66" t="s">
        <v>303</v>
      </c>
      <c r="C42" s="66">
        <v>104</v>
      </c>
    </row>
    <row r="43" spans="1:3" ht="86.4" x14ac:dyDescent="0.3">
      <c r="A43" s="61" t="s">
        <v>304</v>
      </c>
      <c r="B43" s="61" t="s">
        <v>305</v>
      </c>
      <c r="C43" s="61">
        <v>104</v>
      </c>
    </row>
    <row r="44" spans="1:3" x14ac:dyDescent="0.3">
      <c r="A44" s="66" t="s">
        <v>306</v>
      </c>
      <c r="B44" s="66" t="s">
        <v>307</v>
      </c>
      <c r="C44" s="66">
        <v>107</v>
      </c>
    </row>
    <row r="45" spans="1:3" ht="57.6" x14ac:dyDescent="0.3">
      <c r="A45" s="61" t="s">
        <v>308</v>
      </c>
      <c r="B45" s="61" t="s">
        <v>309</v>
      </c>
      <c r="C45" s="61">
        <v>107</v>
      </c>
    </row>
    <row r="46" spans="1:3" ht="72" x14ac:dyDescent="0.3">
      <c r="A46" s="61" t="s">
        <v>310</v>
      </c>
      <c r="B46" s="61" t="s">
        <v>311</v>
      </c>
      <c r="C46" s="61">
        <v>108</v>
      </c>
    </row>
    <row r="47" spans="1:3" ht="57.6" x14ac:dyDescent="0.3">
      <c r="A47" s="61" t="s">
        <v>312</v>
      </c>
      <c r="B47" s="61" t="s">
        <v>313</v>
      </c>
      <c r="C47" s="61">
        <v>110</v>
      </c>
    </row>
    <row r="48" spans="1:3" x14ac:dyDescent="0.3">
      <c r="A48" s="66" t="s">
        <v>314</v>
      </c>
      <c r="B48" s="66" t="s">
        <v>133</v>
      </c>
      <c r="C48" s="66">
        <v>112</v>
      </c>
    </row>
    <row r="49" spans="1:3" ht="57.6" x14ac:dyDescent="0.3">
      <c r="A49" s="61" t="s">
        <v>315</v>
      </c>
      <c r="B49" s="61" t="s">
        <v>316</v>
      </c>
      <c r="C49" s="61">
        <v>112</v>
      </c>
    </row>
    <row r="50" spans="1:3" ht="86.4" x14ac:dyDescent="0.3">
      <c r="A50" s="61" t="s">
        <v>317</v>
      </c>
      <c r="B50" s="61" t="s">
        <v>318</v>
      </c>
      <c r="C50" s="61">
        <v>113</v>
      </c>
    </row>
    <row r="51" spans="1:3" ht="28.8" x14ac:dyDescent="0.3">
      <c r="A51" s="61" t="s">
        <v>319</v>
      </c>
      <c r="B51" s="61" t="s">
        <v>320</v>
      </c>
      <c r="C51" s="61">
        <v>116</v>
      </c>
    </row>
    <row r="52" spans="1:3" x14ac:dyDescent="0.3">
      <c r="A52" s="62" t="s">
        <v>321</v>
      </c>
      <c r="B52" s="62" t="s">
        <v>322</v>
      </c>
      <c r="C52" s="62">
        <v>120</v>
      </c>
    </row>
    <row r="53" spans="1:3" x14ac:dyDescent="0.3">
      <c r="A53" s="65" t="s">
        <v>222</v>
      </c>
      <c r="B53" s="65">
        <v>120</v>
      </c>
    </row>
    <row r="54" spans="1:3" x14ac:dyDescent="0.3">
      <c r="A54" s="66" t="s">
        <v>323</v>
      </c>
      <c r="B54" s="66" t="s">
        <v>324</v>
      </c>
      <c r="C54" s="66">
        <v>120</v>
      </c>
    </row>
    <row r="55" spans="1:3" ht="57.6" x14ac:dyDescent="0.3">
      <c r="A55" s="61" t="s">
        <v>325</v>
      </c>
      <c r="B55" s="61" t="s">
        <v>326</v>
      </c>
      <c r="C55" s="61">
        <v>120</v>
      </c>
    </row>
    <row r="56" spans="1:3" ht="43.2" x14ac:dyDescent="0.3">
      <c r="A56" s="61" t="s">
        <v>327</v>
      </c>
      <c r="B56" s="61" t="s">
        <v>328</v>
      </c>
      <c r="C56" s="61">
        <v>121</v>
      </c>
    </row>
    <row r="57" spans="1:3" ht="28.8" x14ac:dyDescent="0.3">
      <c r="A57" s="61" t="s">
        <v>329</v>
      </c>
      <c r="B57" s="61" t="s">
        <v>330</v>
      </c>
      <c r="C57" s="61">
        <v>122</v>
      </c>
    </row>
    <row r="58" spans="1:3" ht="28.8" x14ac:dyDescent="0.3">
      <c r="A58" s="61" t="s">
        <v>331</v>
      </c>
      <c r="B58" s="61" t="s">
        <v>332</v>
      </c>
      <c r="C58" s="61">
        <v>125</v>
      </c>
    </row>
    <row r="59" spans="1:3" x14ac:dyDescent="0.3">
      <c r="A59" s="66" t="s">
        <v>333</v>
      </c>
      <c r="B59" s="66" t="s">
        <v>334</v>
      </c>
      <c r="C59" s="66">
        <v>126</v>
      </c>
    </row>
    <row r="60" spans="1:3" x14ac:dyDescent="0.3">
      <c r="A60" s="65" t="s">
        <v>223</v>
      </c>
      <c r="B60" s="65">
        <v>126</v>
      </c>
    </row>
    <row r="61" spans="1:3" x14ac:dyDescent="0.3">
      <c r="A61" s="66" t="s">
        <v>335</v>
      </c>
      <c r="B61" s="66" t="s">
        <v>336</v>
      </c>
      <c r="C61" s="66">
        <v>127</v>
      </c>
    </row>
    <row r="62" spans="1:3" x14ac:dyDescent="0.3">
      <c r="A62" s="66" t="s">
        <v>337</v>
      </c>
      <c r="B62" s="66" t="s">
        <v>338</v>
      </c>
      <c r="C62" s="66">
        <v>127</v>
      </c>
    </row>
    <row r="63" spans="1:3" x14ac:dyDescent="0.3">
      <c r="A63" s="62" t="s">
        <v>339</v>
      </c>
      <c r="B63" s="62" t="s">
        <v>340</v>
      </c>
      <c r="C63" s="62">
        <v>128</v>
      </c>
    </row>
    <row r="64" spans="1:3" x14ac:dyDescent="0.3">
      <c r="A64" s="65" t="s">
        <v>341</v>
      </c>
      <c r="B64" s="65">
        <v>128</v>
      </c>
    </row>
    <row r="65" spans="1:3" x14ac:dyDescent="0.3">
      <c r="A65" s="66" t="s">
        <v>342</v>
      </c>
      <c r="B65" s="66" t="s">
        <v>343</v>
      </c>
      <c r="C65" s="66">
        <v>128</v>
      </c>
    </row>
    <row r="66" spans="1:3" ht="86.4" x14ac:dyDescent="0.3">
      <c r="A66" s="61" t="s">
        <v>344</v>
      </c>
      <c r="B66" s="61" t="s">
        <v>345</v>
      </c>
      <c r="C66" s="61">
        <v>128</v>
      </c>
    </row>
    <row r="67" spans="1:3" ht="86.4" x14ac:dyDescent="0.3">
      <c r="A67" s="61" t="s">
        <v>346</v>
      </c>
      <c r="B67" s="61" t="s">
        <v>347</v>
      </c>
      <c r="C67" s="61">
        <v>128</v>
      </c>
    </row>
    <row r="68" spans="1:3" x14ac:dyDescent="0.3">
      <c r="A68" s="66" t="s">
        <v>348</v>
      </c>
      <c r="B68" s="66" t="s">
        <v>96</v>
      </c>
      <c r="C68" s="66">
        <v>130</v>
      </c>
    </row>
    <row r="69" spans="1:3" ht="72" x14ac:dyDescent="0.3">
      <c r="A69" s="61" t="s">
        <v>349</v>
      </c>
      <c r="B69" s="61" t="s">
        <v>350</v>
      </c>
      <c r="C69" s="61">
        <v>131</v>
      </c>
    </row>
    <row r="70" spans="1:3" ht="57.6" x14ac:dyDescent="0.3">
      <c r="A70" s="61" t="s">
        <v>351</v>
      </c>
      <c r="B70" s="61" t="s">
        <v>352</v>
      </c>
      <c r="C70" s="61">
        <v>131</v>
      </c>
    </row>
    <row r="71" spans="1:3" ht="57.6" x14ac:dyDescent="0.3">
      <c r="A71" s="61" t="s">
        <v>353</v>
      </c>
      <c r="B71" s="61" t="s">
        <v>354</v>
      </c>
      <c r="C71" s="61">
        <v>131</v>
      </c>
    </row>
    <row r="72" spans="1:3" ht="115.2" x14ac:dyDescent="0.3">
      <c r="A72" s="61" t="s">
        <v>355</v>
      </c>
      <c r="B72" s="61" t="s">
        <v>356</v>
      </c>
      <c r="C72" s="61">
        <v>132</v>
      </c>
    </row>
    <row r="73" spans="1:3" x14ac:dyDescent="0.3">
      <c r="A73" s="66" t="s">
        <v>357</v>
      </c>
      <c r="B73" s="66" t="s">
        <v>89</v>
      </c>
      <c r="C73" s="66">
        <v>135</v>
      </c>
    </row>
    <row r="74" spans="1:3" x14ac:dyDescent="0.3">
      <c r="A74" s="66" t="s">
        <v>358</v>
      </c>
      <c r="B74" s="66" t="s">
        <v>359</v>
      </c>
      <c r="C74" s="66">
        <v>138</v>
      </c>
    </row>
    <row r="75" spans="1:3" x14ac:dyDescent="0.3">
      <c r="A75" s="61" t="s">
        <v>360</v>
      </c>
      <c r="B75" s="61" t="s">
        <v>361</v>
      </c>
      <c r="C75" s="61">
        <v>140</v>
      </c>
    </row>
    <row r="76" spans="1:3" x14ac:dyDescent="0.3">
      <c r="A76" s="61" t="s">
        <v>362</v>
      </c>
      <c r="B76" s="61" t="s">
        <v>363</v>
      </c>
      <c r="C76" s="61">
        <v>142</v>
      </c>
    </row>
    <row r="77" spans="1:3" x14ac:dyDescent="0.3">
      <c r="A77" s="61" t="s">
        <v>364</v>
      </c>
      <c r="B77" s="61" t="s">
        <v>365</v>
      </c>
      <c r="C77" s="61">
        <v>145</v>
      </c>
    </row>
    <row r="78" spans="1:3" x14ac:dyDescent="0.3">
      <c r="A78" s="62" t="s">
        <v>366</v>
      </c>
      <c r="B78" s="62" t="s">
        <v>367</v>
      </c>
      <c r="C78" s="62">
        <v>146</v>
      </c>
    </row>
    <row r="79" spans="1:3" x14ac:dyDescent="0.3">
      <c r="A79" s="65" t="s">
        <v>368</v>
      </c>
      <c r="B79" s="65" t="s">
        <v>369</v>
      </c>
      <c r="C79" s="65">
        <v>147</v>
      </c>
    </row>
    <row r="80" spans="1:3" x14ac:dyDescent="0.3">
      <c r="A80" s="66" t="s">
        <v>370</v>
      </c>
      <c r="B80" s="66" t="s">
        <v>371</v>
      </c>
      <c r="C80" s="66">
        <v>147</v>
      </c>
    </row>
    <row r="81" spans="1:3" x14ac:dyDescent="0.3">
      <c r="A81" s="66" t="s">
        <v>372</v>
      </c>
      <c r="B81" s="66" t="s">
        <v>373</v>
      </c>
      <c r="C81" s="66">
        <v>153</v>
      </c>
    </row>
    <row r="82" spans="1:3" x14ac:dyDescent="0.3">
      <c r="A82" s="66" t="s">
        <v>374</v>
      </c>
      <c r="B82" s="66" t="s">
        <v>375</v>
      </c>
      <c r="C82" s="66">
        <v>154</v>
      </c>
    </row>
    <row r="83" spans="1:3" x14ac:dyDescent="0.3">
      <c r="A83" s="66" t="s">
        <v>376</v>
      </c>
      <c r="B83" s="66" t="s">
        <v>377</v>
      </c>
      <c r="C83" s="66">
        <v>154</v>
      </c>
    </row>
    <row r="84" spans="1:3" x14ac:dyDescent="0.3">
      <c r="A84" s="66" t="s">
        <v>378</v>
      </c>
      <c r="B84" s="66" t="s">
        <v>379</v>
      </c>
      <c r="C84" s="66">
        <v>156</v>
      </c>
    </row>
    <row r="85" spans="1:3" x14ac:dyDescent="0.3">
      <c r="A85" s="66" t="s">
        <v>380</v>
      </c>
      <c r="B85" s="66" t="s">
        <v>381</v>
      </c>
      <c r="C85" s="66">
        <v>157</v>
      </c>
    </row>
    <row r="86" spans="1:3" x14ac:dyDescent="0.3">
      <c r="A86" s="66" t="s">
        <v>382</v>
      </c>
      <c r="B86" s="66" t="s">
        <v>383</v>
      </c>
      <c r="C86" s="66">
        <v>160</v>
      </c>
    </row>
    <row r="87" spans="1:3" x14ac:dyDescent="0.3">
      <c r="A87" s="66" t="s">
        <v>384</v>
      </c>
      <c r="B87" s="66" t="s">
        <v>385</v>
      </c>
      <c r="C87" s="66">
        <v>161</v>
      </c>
    </row>
    <row r="88" spans="1:3" ht="57.6" x14ac:dyDescent="0.3">
      <c r="A88" s="61" t="s">
        <v>386</v>
      </c>
      <c r="B88" s="61" t="s">
        <v>387</v>
      </c>
      <c r="C88" s="61">
        <v>161</v>
      </c>
    </row>
    <row r="89" spans="1:3" ht="100.8" x14ac:dyDescent="0.3">
      <c r="A89" s="61" t="s">
        <v>388</v>
      </c>
      <c r="B89" s="61" t="s">
        <v>389</v>
      </c>
      <c r="C89" s="61">
        <v>163</v>
      </c>
    </row>
    <row r="90" spans="1:3" x14ac:dyDescent="0.3">
      <c r="A90" s="65" t="s">
        <v>390</v>
      </c>
      <c r="B90" s="65" t="s">
        <v>391</v>
      </c>
      <c r="C90" s="65">
        <v>164</v>
      </c>
    </row>
    <row r="91" spans="1:3" x14ac:dyDescent="0.3">
      <c r="A91" s="66" t="s">
        <v>392</v>
      </c>
      <c r="B91" s="66" t="s">
        <v>393</v>
      </c>
      <c r="C91" s="66">
        <v>165</v>
      </c>
    </row>
    <row r="92" spans="1:3" ht="57.6" x14ac:dyDescent="0.3">
      <c r="A92" s="61" t="s">
        <v>394</v>
      </c>
      <c r="B92" s="61" t="s">
        <v>395</v>
      </c>
      <c r="C92" s="61">
        <v>165</v>
      </c>
    </row>
    <row r="93" spans="1:3" ht="43.2" x14ac:dyDescent="0.3">
      <c r="A93" s="61" t="s">
        <v>396</v>
      </c>
      <c r="B93" s="61" t="s">
        <v>397</v>
      </c>
      <c r="C93" s="61">
        <v>169</v>
      </c>
    </row>
    <row r="94" spans="1:3" ht="43.2" x14ac:dyDescent="0.3">
      <c r="A94" s="61" t="s">
        <v>398</v>
      </c>
      <c r="B94" s="61" t="s">
        <v>399</v>
      </c>
      <c r="C94" s="61">
        <v>179</v>
      </c>
    </row>
    <row r="95" spans="1:3" ht="57.6" x14ac:dyDescent="0.3">
      <c r="A95" s="61" t="s">
        <v>400</v>
      </c>
      <c r="B95" s="61" t="s">
        <v>401</v>
      </c>
      <c r="C95" s="61">
        <v>181</v>
      </c>
    </row>
    <row r="96" spans="1:3" x14ac:dyDescent="0.3">
      <c r="A96" s="66" t="s">
        <v>402</v>
      </c>
      <c r="B96" s="66" t="s">
        <v>403</v>
      </c>
      <c r="C96" s="66">
        <v>185</v>
      </c>
    </row>
    <row r="97" spans="1:3" ht="144" x14ac:dyDescent="0.3">
      <c r="A97" s="61" t="s">
        <v>404</v>
      </c>
      <c r="B97" s="61" t="s">
        <v>405</v>
      </c>
      <c r="C97" s="61">
        <v>185</v>
      </c>
    </row>
    <row r="98" spans="1:3" ht="129.6" x14ac:dyDescent="0.3">
      <c r="A98" s="61" t="s">
        <v>406</v>
      </c>
      <c r="B98" s="61" t="s">
        <v>407</v>
      </c>
      <c r="C98" s="61">
        <v>186</v>
      </c>
    </row>
    <row r="99" spans="1:3" ht="86.4" x14ac:dyDescent="0.3">
      <c r="A99" s="61" t="s">
        <v>408</v>
      </c>
      <c r="B99" s="61" t="s">
        <v>409</v>
      </c>
      <c r="C99" s="61">
        <v>187</v>
      </c>
    </row>
    <row r="100" spans="1:3" ht="43.2" x14ac:dyDescent="0.3">
      <c r="A100" s="61" t="s">
        <v>410</v>
      </c>
      <c r="B100" s="61" t="s">
        <v>411</v>
      </c>
      <c r="C100" s="61">
        <v>189</v>
      </c>
    </row>
    <row r="101" spans="1:3" ht="43.2" x14ac:dyDescent="0.3">
      <c r="A101" s="61" t="s">
        <v>412</v>
      </c>
      <c r="B101" s="61" t="s">
        <v>413</v>
      </c>
      <c r="C101" s="61">
        <v>190</v>
      </c>
    </row>
    <row r="102" spans="1:3" x14ac:dyDescent="0.3">
      <c r="A102" s="65" t="s">
        <v>414</v>
      </c>
      <c r="B102" s="65" t="s">
        <v>415</v>
      </c>
      <c r="C102" s="65">
        <v>193</v>
      </c>
    </row>
    <row r="103" spans="1:3" x14ac:dyDescent="0.3">
      <c r="A103" s="66" t="s">
        <v>416</v>
      </c>
      <c r="B103" s="66" t="s">
        <v>417</v>
      </c>
      <c r="C103" s="66">
        <v>193</v>
      </c>
    </row>
    <row r="104" spans="1:3" ht="100.8" x14ac:dyDescent="0.3">
      <c r="A104" s="61" t="s">
        <v>418</v>
      </c>
      <c r="B104" s="61" t="s">
        <v>419</v>
      </c>
      <c r="C104" s="61">
        <v>193</v>
      </c>
    </row>
    <row r="105" spans="1:3" ht="57.6" x14ac:dyDescent="0.3">
      <c r="A105" s="61" t="s">
        <v>420</v>
      </c>
      <c r="B105" s="61" t="s">
        <v>421</v>
      </c>
      <c r="C105" s="61">
        <v>194</v>
      </c>
    </row>
    <row r="106" spans="1:3" x14ac:dyDescent="0.3">
      <c r="A106" s="66" t="s">
        <v>422</v>
      </c>
      <c r="B106" s="66" t="s">
        <v>423</v>
      </c>
      <c r="C106" s="66">
        <v>196</v>
      </c>
    </row>
    <row r="107" spans="1:3" x14ac:dyDescent="0.3">
      <c r="A107" s="66" t="s">
        <v>424</v>
      </c>
      <c r="B107" s="66" t="s">
        <v>425</v>
      </c>
      <c r="C107" s="66">
        <v>196</v>
      </c>
    </row>
    <row r="108" spans="1:3" x14ac:dyDescent="0.3">
      <c r="A108" s="66" t="s">
        <v>426</v>
      </c>
      <c r="B108" s="66" t="s">
        <v>427</v>
      </c>
      <c r="C108" s="66">
        <v>197</v>
      </c>
    </row>
    <row r="109" spans="1:3" x14ac:dyDescent="0.3">
      <c r="A109" s="66" t="s">
        <v>428</v>
      </c>
      <c r="B109" s="66" t="s">
        <v>429</v>
      </c>
      <c r="C109" s="66">
        <v>197</v>
      </c>
    </row>
    <row r="110" spans="1:3" x14ac:dyDescent="0.3">
      <c r="A110" s="62" t="s">
        <v>430</v>
      </c>
      <c r="B110" s="62" t="s">
        <v>431</v>
      </c>
      <c r="C110" s="62">
        <v>235</v>
      </c>
    </row>
    <row r="111" spans="1:3" x14ac:dyDescent="0.3">
      <c r="A111" s="65" t="s">
        <v>239</v>
      </c>
      <c r="B111" s="65">
        <v>235</v>
      </c>
    </row>
    <row r="112" spans="1:3" x14ac:dyDescent="0.3">
      <c r="A112" s="66" t="s">
        <v>432</v>
      </c>
      <c r="B112" s="66" t="s">
        <v>433</v>
      </c>
      <c r="C112" s="66">
        <v>235</v>
      </c>
    </row>
    <row r="113" spans="1:3" ht="28.8" x14ac:dyDescent="0.3">
      <c r="A113" s="61" t="s">
        <v>434</v>
      </c>
      <c r="B113" s="61" t="s">
        <v>90</v>
      </c>
      <c r="C113" s="61">
        <v>235</v>
      </c>
    </row>
    <row r="114" spans="1:3" ht="43.2" x14ac:dyDescent="0.3">
      <c r="A114" s="61" t="s">
        <v>435</v>
      </c>
      <c r="B114" s="61" t="s">
        <v>227</v>
      </c>
      <c r="C114" s="61">
        <v>238</v>
      </c>
    </row>
    <row r="115" spans="1:3" x14ac:dyDescent="0.3">
      <c r="A115" s="62" t="s">
        <v>436</v>
      </c>
      <c r="B115" s="62" t="s">
        <v>437</v>
      </c>
      <c r="C115" s="62">
        <v>239</v>
      </c>
    </row>
    <row r="116" spans="1:3" x14ac:dyDescent="0.3">
      <c r="A116" s="66" t="s">
        <v>438</v>
      </c>
      <c r="B116" s="66" t="s">
        <v>228</v>
      </c>
      <c r="C116" s="66">
        <v>239</v>
      </c>
    </row>
    <row r="117" spans="1:3" ht="43.2" x14ac:dyDescent="0.3">
      <c r="A117" s="61" t="s">
        <v>439</v>
      </c>
      <c r="B117" s="61" t="s">
        <v>229</v>
      </c>
      <c r="C117" s="61">
        <v>239</v>
      </c>
    </row>
    <row r="118" spans="1:3" ht="57.6" x14ac:dyDescent="0.3">
      <c r="A118" s="61" t="s">
        <v>440</v>
      </c>
      <c r="B118" s="61" t="s">
        <v>230</v>
      </c>
      <c r="C118" s="61">
        <v>241</v>
      </c>
    </row>
    <row r="119" spans="1:3" ht="28.8" x14ac:dyDescent="0.3">
      <c r="A119" s="61" t="s">
        <v>441</v>
      </c>
      <c r="B119" s="61" t="s">
        <v>209</v>
      </c>
      <c r="C119" s="61">
        <v>242</v>
      </c>
    </row>
    <row r="120" spans="1:3" x14ac:dyDescent="0.3">
      <c r="A120" s="61" t="s">
        <v>442</v>
      </c>
      <c r="B120" s="61" t="s">
        <v>231</v>
      </c>
      <c r="C120" s="61">
        <v>243</v>
      </c>
    </row>
    <row r="121" spans="1:3" ht="28.8" x14ac:dyDescent="0.3">
      <c r="A121" s="61" t="s">
        <v>443</v>
      </c>
      <c r="B121" s="61" t="s">
        <v>232</v>
      </c>
      <c r="C121" s="61">
        <v>246</v>
      </c>
    </row>
    <row r="122" spans="1:3" ht="100.8" x14ac:dyDescent="0.3">
      <c r="A122" s="61" t="s">
        <v>444</v>
      </c>
      <c r="B122" s="61" t="s">
        <v>445</v>
      </c>
      <c r="C122" s="61">
        <v>250</v>
      </c>
    </row>
    <row r="123" spans="1:3" x14ac:dyDescent="0.3">
      <c r="A123" s="66" t="s">
        <v>446</v>
      </c>
      <c r="B123" s="66" t="s">
        <v>447</v>
      </c>
      <c r="C123" s="66">
        <v>253</v>
      </c>
    </row>
    <row r="124" spans="1:3" ht="57.6" x14ac:dyDescent="0.3">
      <c r="A124" s="61" t="s">
        <v>448</v>
      </c>
      <c r="B124" s="61" t="s">
        <v>449</v>
      </c>
      <c r="C124" s="61">
        <v>254</v>
      </c>
    </row>
    <row r="125" spans="1:3" ht="86.4" x14ac:dyDescent="0.3">
      <c r="A125" s="61" t="s">
        <v>450</v>
      </c>
      <c r="B125" s="61" t="s">
        <v>451</v>
      </c>
      <c r="C125" s="61">
        <v>255</v>
      </c>
    </row>
    <row r="126" spans="1:3" ht="43.2" x14ac:dyDescent="0.3">
      <c r="A126" s="61" t="s">
        <v>452</v>
      </c>
      <c r="B126" s="61" t="s">
        <v>234</v>
      </c>
      <c r="C126" s="61">
        <v>257</v>
      </c>
    </row>
    <row r="127" spans="1:3" x14ac:dyDescent="0.3">
      <c r="A127" s="61" t="s">
        <v>453</v>
      </c>
      <c r="B127" s="61" t="s">
        <v>235</v>
      </c>
      <c r="C127" s="61">
        <v>257</v>
      </c>
    </row>
    <row r="128" spans="1:3" ht="28.8" x14ac:dyDescent="0.3">
      <c r="A128" s="61" t="s">
        <v>454</v>
      </c>
      <c r="B128" s="61" t="s">
        <v>236</v>
      </c>
      <c r="C128" s="61">
        <v>259</v>
      </c>
    </row>
    <row r="129" spans="1:3" ht="28.8" x14ac:dyDescent="0.3">
      <c r="A129" s="61" t="s">
        <v>455</v>
      </c>
      <c r="B129" s="61" t="s">
        <v>237</v>
      </c>
      <c r="C129" s="61">
        <v>262</v>
      </c>
    </row>
    <row r="130" spans="1:3" x14ac:dyDescent="0.3">
      <c r="A130" s="61" t="s">
        <v>456</v>
      </c>
      <c r="B130" s="61" t="s">
        <v>238</v>
      </c>
      <c r="C130" s="61">
        <v>264</v>
      </c>
    </row>
    <row r="131" spans="1:3" x14ac:dyDescent="0.3">
      <c r="A131" s="61" t="s">
        <v>457</v>
      </c>
      <c r="B131" s="61" t="s">
        <v>233</v>
      </c>
      <c r="C131" s="61">
        <v>267</v>
      </c>
    </row>
    <row r="132" spans="1:3" ht="100.8" x14ac:dyDescent="0.3">
      <c r="A132" s="61" t="s">
        <v>458</v>
      </c>
      <c r="B132" s="61" t="s">
        <v>459</v>
      </c>
      <c r="C132" s="61">
        <v>271</v>
      </c>
    </row>
    <row r="133" spans="1:3" x14ac:dyDescent="0.3">
      <c r="A133" s="63"/>
    </row>
  </sheetData>
  <hyperlinks>
    <hyperlink ref="A2" location="_Toc227098835" display="_Toc227098835" xr:uid="{8307626D-D038-498F-ABAB-BAEED9A85071}"/>
    <hyperlink ref="B2" location="_Toc227098835" display="_Toc227098835" xr:uid="{DC16C283-7055-40DD-91D6-F86343E12B94}"/>
    <hyperlink ref="A3" location="_Toc227098836" display="_Toc227098836" xr:uid="{E56DCEBA-3C07-4E0B-B3BA-FB0E297B2A8E}"/>
    <hyperlink ref="B3" location="_Toc227098836" display="_Toc227098836" xr:uid="{126E66BD-FD4B-4EFC-A28B-A6F36DC3B43F}"/>
    <hyperlink ref="A4" location="_Toc227098855" display="_Toc227098855" xr:uid="{27F607C9-752C-4588-83C8-709423F31125}"/>
    <hyperlink ref="B4" location="_Toc227098855" display="_Toc227098855" xr:uid="{24EABDB4-06D8-480F-9650-B22B9CAD7F43}"/>
    <hyperlink ref="C4" location="_Toc227098855" display="_Toc227098855" xr:uid="{4B3C7918-42A5-4162-B33E-B3216207FF63}"/>
    <hyperlink ref="A5" location="_Toc227098856" display="_Toc227098856" xr:uid="{DC3BAD69-628D-4DD9-911F-D38C99556CEB}"/>
    <hyperlink ref="B5" location="_Toc227098856" display="_Toc227098856" xr:uid="{37FB522B-FB14-490F-9CCC-2EC6673D009E}"/>
    <hyperlink ref="C5" location="_Toc227098856" display="_Toc227098856" xr:uid="{5F814E51-C8A7-4902-B1E3-67AF148ADC28}"/>
    <hyperlink ref="A6" location="_Toc227098857" display="_Toc227098857" xr:uid="{E8816C31-C47E-4A39-B638-650C8894BC4B}"/>
    <hyperlink ref="B6" location="_Toc227098857" display="_Toc227098857" xr:uid="{1689A013-4B76-4E5D-BD11-7AA2C197EB4A}"/>
    <hyperlink ref="C6" location="_Toc227098857" display="_Toc227098857" xr:uid="{D94B3139-ACEE-400A-A365-23D25A6F6A6E}"/>
    <hyperlink ref="A7" location="_Toc227098858" display="_Toc227098858" xr:uid="{CB2348F4-55A7-4F95-872E-9A1D537C397D}"/>
    <hyperlink ref="B7" location="_Toc227098858" display="_Toc227098858" xr:uid="{2FADFF5E-F477-4EB8-BFAE-90A1A9AFCE68}"/>
    <hyperlink ref="C7" location="_Toc227098858" display="_Toc227098858" xr:uid="{9572C82A-3F88-405A-9EF7-AE014F42031B}"/>
    <hyperlink ref="A8" location="_Toc227098859" display="_Toc227098859" xr:uid="{1BD9551C-03A8-4576-BDEC-384EFF45124E}"/>
    <hyperlink ref="B8" location="_Toc227098859" display="_Toc227098859" xr:uid="{DA41A3D9-3D24-40D4-8328-70467E869B8B}"/>
    <hyperlink ref="C8" location="_Toc227098859" display="_Toc227098859" xr:uid="{43852F28-8812-4EC0-83DB-566D5B3F230A}"/>
    <hyperlink ref="A9" location="_Toc227098860" display="_Toc227098860" xr:uid="{D0958495-E966-4FE3-B24D-AA988D088221}"/>
    <hyperlink ref="B9" location="_Toc227098860" display="_Toc227098860" xr:uid="{F5B7A578-FDD7-4B12-ACF2-C43F57AC062A}"/>
    <hyperlink ref="C9" location="_Toc227098860" display="_Toc227098860" xr:uid="{B1DA1B26-EE7E-4182-A4DC-0FB968D221BD}"/>
    <hyperlink ref="A10" location="_Toc227098861" display="_Toc227098861" xr:uid="{0F6FDE77-FE82-47A4-8CD6-D50845AD4F57}"/>
    <hyperlink ref="B10" location="_Toc227098861" display="_Toc227098861" xr:uid="{704AFD69-A203-48A1-8A07-26BB3842852E}"/>
    <hyperlink ref="A11" location="_Toc227098862" display="_Toc227098862" xr:uid="{8882CCFA-EC03-4617-878E-286A2FF18107}"/>
    <hyperlink ref="B11" location="_Toc227098862" display="_Toc227098862" xr:uid="{8BFDA40A-879C-4BDB-BF97-9977C2E67FF3}"/>
    <hyperlink ref="A12" location="_Toc227098863" display="_Toc227098863" xr:uid="{F811CBD7-2635-4EFE-BA8D-AEAF9D9AFA5E}"/>
    <hyperlink ref="B12" location="_Toc227098863" display="_Toc227098863" xr:uid="{0BB6C103-3F4C-4481-B637-5770CFB9C6CC}"/>
    <hyperlink ref="A13" location="_Toc227098864" display="_Toc227098864" xr:uid="{19C810B0-D269-460E-B664-14C0CEC7AEC7}"/>
    <hyperlink ref="B13" location="_Toc227098864" display="_Toc227098864" xr:uid="{78A7BB8D-B99C-43D8-94FE-7881B29AA319}"/>
    <hyperlink ref="A14" location="_Toc227098865" display="_Toc227098865" xr:uid="{F5ED816C-3BF1-4A37-9889-55EE6CDC8F19}"/>
    <hyperlink ref="B14" location="_Toc227098865" display="_Toc227098865" xr:uid="{92B4A910-277E-4FD5-9090-FE38160E30A1}"/>
    <hyperlink ref="A15" location="_Toc227098866" display="_Toc227098866" xr:uid="{E91B1188-B8D4-4B5D-AB9E-72FA6C918CB5}"/>
    <hyperlink ref="B15" location="_Toc227098866" display="_Toc227098866" xr:uid="{07C4CDC3-941F-46D6-B26C-DF4F3E5D6F79}"/>
    <hyperlink ref="A16" location="_Toc227098867" display="_Toc227098867" xr:uid="{965105F8-1D52-4045-982B-69F3766C78C6}"/>
    <hyperlink ref="B16" location="_Toc227098867" display="_Toc227098867" xr:uid="{63C23424-ED0E-4881-98D4-0BA0D9A65781}"/>
    <hyperlink ref="A17" location="_Toc227098868" display="_Toc227098868" xr:uid="{480F3025-34B0-4F6F-8047-727B3B5DA2C7}"/>
    <hyperlink ref="B17" location="_Toc227098868" display="_Toc227098868" xr:uid="{90FC6AEC-6891-4799-8F15-0C47D37A72DE}"/>
    <hyperlink ref="A18" location="_Toc227098869" display="_Toc227098869" xr:uid="{11A3604C-3D4C-4584-AC8D-D6A154162A44}"/>
    <hyperlink ref="B18" location="_Toc227098869" display="_Toc227098869" xr:uid="{7C6D5B8B-BE95-4B96-BB0A-245EC14E6ACF}"/>
    <hyperlink ref="C18" location="_Toc227098869" display="_Toc227098869" xr:uid="{7C76758A-C206-43AD-9F2F-2C02B9CCDEFA}"/>
    <hyperlink ref="A19" location="_Toc227098870" display="_Toc227098870" xr:uid="{401D43B4-74D7-48D9-A6E2-D9ACD06F4AB1}"/>
    <hyperlink ref="B19" location="_Toc227098870" display="_Toc227098870" xr:uid="{18C1B942-7201-44E6-9529-2EC1AFD74D6F}"/>
    <hyperlink ref="C19" location="_Toc227098870" display="_Toc227098870" xr:uid="{157D6810-DC86-4797-A28F-A6D24BB669E4}"/>
    <hyperlink ref="A20" location="_Toc227098871" display="_Toc227098871" xr:uid="{3BFF3F4D-E803-457E-B2DB-242374108CF6}"/>
    <hyperlink ref="B20" location="_Toc227098871" display="_Toc227098871" xr:uid="{50519E5B-37D2-44FD-92E5-6589DA2DFB96}"/>
    <hyperlink ref="C20" location="_Toc227098871" display="_Toc227098871" xr:uid="{4C69BA4D-A60D-48A6-A87E-4BC4218BF78E}"/>
    <hyperlink ref="A21" location="_Toc227098872" display="_Toc227098872" xr:uid="{BB0F6F23-577D-48B5-95FD-11124F684876}"/>
    <hyperlink ref="B21" location="_Toc227098872" display="_Toc227098872" xr:uid="{CDD7A1BB-DBF5-46B4-95D9-0D90701ECDA8}"/>
    <hyperlink ref="C21" location="_Toc227098872" display="_Toc227098872" xr:uid="{F1084A51-6144-4207-B231-A5D25C5F289E}"/>
    <hyperlink ref="A22" location="_Toc227098873" display="_Toc227098873" xr:uid="{CE278770-FD1B-48A2-97BC-97587401C8A4}"/>
    <hyperlink ref="B22" location="_Toc227098873" display="_Toc227098873" xr:uid="{D0FBAB39-A6C6-4D20-99DE-863BE5AD4940}"/>
    <hyperlink ref="C22" location="_Toc227098873" display="_Toc227098873" xr:uid="{CDA9FAB4-E30A-4724-8A73-E3C3AA04812E}"/>
    <hyperlink ref="A23" location="_Toc227098874" display="_Toc227098874" xr:uid="{C3D235AB-0838-46BE-8C21-2AA9DC4E22F3}"/>
    <hyperlink ref="B23" location="_Toc227098874" display="_Toc227098874" xr:uid="{14DB4D89-16CA-43AB-8990-ED2D35023C9C}"/>
    <hyperlink ref="C23" location="_Toc227098874" display="_Toc227098874" xr:uid="{6B28CF57-130E-4B19-9365-FB1862496254}"/>
    <hyperlink ref="A24" location="_Toc227098875" display="_Toc227098875" xr:uid="{0DF5459A-A903-49EE-9BEC-FA1D7DC1D67D}"/>
    <hyperlink ref="B24" location="_Toc227098875" display="_Toc227098875" xr:uid="{D3693AAC-D1DC-499C-8A27-FF750BDBA4CD}"/>
    <hyperlink ref="C24" location="_Toc227098875" display="_Toc227098875" xr:uid="{13C13D48-D7C3-402D-B048-1D1D01300FA8}"/>
    <hyperlink ref="A25" location="_Toc227098876" display="_Toc227098876" xr:uid="{E5A8797C-73E9-437D-B0A4-2EC459ADC7BF}"/>
    <hyperlink ref="B25" location="_Toc227098876" display="_Toc227098876" xr:uid="{55297F60-0D6F-40B7-A213-EE68BC73BC60}"/>
    <hyperlink ref="C25" location="_Toc227098876" display="_Toc227098876" xr:uid="{3FA0B1CA-8F0B-4504-ACB5-7A4D9929F17C}"/>
    <hyperlink ref="A26" location="_Toc227098877" display="_Toc227098877" xr:uid="{1AB90CA7-6183-45C8-A3B2-7B8A42255B0D}"/>
    <hyperlink ref="B26" location="_Toc227098877" display="_Toc227098877" xr:uid="{AAEC3CCB-4C76-44AA-B34D-A24FB8060C13}"/>
    <hyperlink ref="C26" location="_Toc227098877" display="_Toc227098877" xr:uid="{CE019B59-6590-4062-AC08-B685465B769E}"/>
    <hyperlink ref="A27" location="_Toc227098878" display="_Toc227098878" xr:uid="{DD78FEC9-0F3C-41CF-BB5A-95B5A2F904B8}"/>
    <hyperlink ref="B27" location="_Toc227098878" display="_Toc227098878" xr:uid="{6CDEF45E-C8AC-41D1-AC1D-AB229FC42E78}"/>
    <hyperlink ref="C27" location="_Toc227098878" display="_Toc227098878" xr:uid="{8A67FD9E-D2C4-4F0E-9D80-6382A9EACED0}"/>
    <hyperlink ref="A28" location="_Toc227098879" display="_Toc227098879" xr:uid="{FFC87852-B4B5-4F4D-AE03-63481BEE8C70}"/>
    <hyperlink ref="B28" location="_Toc227098879" display="_Toc227098879" xr:uid="{2997FCE4-F77F-48D1-BC94-B94EA5083EA9}"/>
    <hyperlink ref="C28" location="_Toc227098879" display="_Toc227098879" xr:uid="{FB16A5B6-C9AE-4FCA-9BB7-ED951E8B6CFE}"/>
    <hyperlink ref="A29" location="_Toc227098880" display="_Toc227098880" xr:uid="{8E1E4253-AB35-496B-B555-510340A2B967}"/>
    <hyperlink ref="B29" location="_Toc227098880" display="_Toc227098880" xr:uid="{AB163CBF-9CB3-49BD-BEA4-8C7297EA7A15}"/>
    <hyperlink ref="A30" location="_Toc227098881" display="_Toc227098881" xr:uid="{5D6134FF-201D-4C51-9603-6782CA7EB6FE}"/>
    <hyperlink ref="B30" location="_Toc227098881" display="_Toc227098881" xr:uid="{ED2C098F-D498-481F-AAE3-F52409DC4C76}"/>
    <hyperlink ref="C30" location="_Toc227098881" display="_Toc227098881" xr:uid="{F5DD3297-3E09-450A-BF65-5B747DBEAD0F}"/>
    <hyperlink ref="A31" location="_Toc227098882" display="_Toc227098882" xr:uid="{322904DB-DDC7-42AA-ABD0-6C1BC127D29A}"/>
    <hyperlink ref="B31" location="_Toc227098882" display="_Toc227098882" xr:uid="{CEEDA884-0A23-4F44-A35C-8413C2D884BC}"/>
    <hyperlink ref="C31" location="_Toc227098882" display="_Toc227098882" xr:uid="{BCF8B35E-CC24-444D-95ED-29137E16CB52}"/>
    <hyperlink ref="A32" location="_Toc227098883" display="_Toc227098883" xr:uid="{D8B62B57-BD7D-4D6E-9780-5F26C2DD428B}"/>
    <hyperlink ref="B32" location="_Toc227098883" display="_Toc227098883" xr:uid="{978B9227-4767-4533-8E49-DC607A50AF57}"/>
    <hyperlink ref="C32" location="_Toc227098883" display="_Toc227098883" xr:uid="{31AE6EDE-4CE1-4F2E-B6E5-AABC0D2C873E}"/>
    <hyperlink ref="A33" location="_Toc227098884" display="_Toc227098884" xr:uid="{7C175E5A-1B8B-479C-8EF1-FC49FA1E8582}"/>
    <hyperlink ref="B33" location="_Toc227098884" display="_Toc227098884" xr:uid="{26CAD3F7-A0A7-4EC3-91EB-DCFE1F0D5372}"/>
    <hyperlink ref="C33" location="_Toc227098884" display="_Toc227098884" xr:uid="{342A3733-4603-4C10-BEE6-E048FE887CAC}"/>
    <hyperlink ref="A34" location="_Toc227098885" display="_Toc227098885" xr:uid="{2B8C219C-D12B-4679-8A3C-2F86853642B5}"/>
    <hyperlink ref="B34" location="_Toc227098885" display="_Toc227098885" xr:uid="{D35C97C8-DAA5-42E4-AE91-4800C46E073D}"/>
    <hyperlink ref="C34" location="_Toc227098885" display="_Toc227098885" xr:uid="{D8C13088-D59B-477C-B001-3C99E7006A76}"/>
    <hyperlink ref="A35" location="_Toc227098886" display="_Toc227098886" xr:uid="{8942B5CA-EA99-4B0B-A44A-5A1A06648754}"/>
    <hyperlink ref="B35" location="_Toc227098886" display="_Toc227098886" xr:uid="{909A3A22-55B0-4CC0-B717-589F21BD882A}"/>
    <hyperlink ref="C35" location="_Toc227098886" display="_Toc227098886" xr:uid="{E8EC0312-F3A7-45C7-BD1E-85053C637A09}"/>
    <hyperlink ref="A36" location="_Toc227098887" display="_Toc227098887" xr:uid="{4B8B42A7-B0A0-463F-8BF9-7717A8560639}"/>
    <hyperlink ref="B36" location="_Toc227098887" display="_Toc227098887" xr:uid="{2E1C87E1-884C-4EFC-8770-84205DD72041}"/>
    <hyperlink ref="C36" location="_Toc227098887" display="_Toc227098887" xr:uid="{D31C9633-440C-422F-8AA9-76D5C00A8902}"/>
    <hyperlink ref="A37" location="_Toc227098888" display="_Toc227098888" xr:uid="{F99FA87B-D030-4FEA-B331-8EC0987645F7}"/>
    <hyperlink ref="B37" location="_Toc227098888" display="_Toc227098888" xr:uid="{F046369B-B624-466D-B76E-FF6DE213A222}"/>
    <hyperlink ref="C37" location="_Toc227098888" display="_Toc227098888" xr:uid="{FC1B186C-4787-4827-817D-B96EFD9D71FB}"/>
    <hyperlink ref="A38" location="_Toc227098889" display="_Toc227098889" xr:uid="{615988D5-AA8B-4C3A-B6D0-50B3039E4B8F}"/>
    <hyperlink ref="B38" location="_Toc227098889" display="_Toc227098889" xr:uid="{CEF4E0AE-47CF-4C65-B0D3-4BDC5EF53731}"/>
    <hyperlink ref="A39" location="_Toc227098890" display="_Toc227098890" xr:uid="{046410C6-C845-402D-87EA-79B4C83D39D9}"/>
    <hyperlink ref="B39" location="_Toc227098890" display="_Toc227098890" xr:uid="{948C6206-8FB2-4C91-8C63-7504AEC72495}"/>
    <hyperlink ref="C39" location="_Toc227098890" display="_Toc227098890" xr:uid="{F6185264-3801-4814-95AB-9A7A8F5FD31C}"/>
    <hyperlink ref="A40" location="_Toc227098891" display="_Toc227098891" xr:uid="{8EAA9F2F-AAE8-4169-9861-B89336819660}"/>
    <hyperlink ref="B40" location="_Toc227098891" display="_Toc227098891" xr:uid="{34F04F0C-F52E-42AA-AAB3-FBFA5E23A492}"/>
    <hyperlink ref="C40" location="_Toc227098891" display="_Toc227098891" xr:uid="{E0784FA2-6385-4606-AB7A-3336E6465EDB}"/>
    <hyperlink ref="A41" location="_Toc227098892" display="_Toc227098892" xr:uid="{6E6C115F-D813-4CF5-8AD3-49B19C3E6E8E}"/>
    <hyperlink ref="B41" location="_Toc227098892" display="_Toc227098892" xr:uid="{759DB78D-0C1B-4042-9AE6-5029CDB1B8D1}"/>
    <hyperlink ref="C41" location="_Toc227098892" display="_Toc227098892" xr:uid="{8D7BB7AE-A6D6-4535-A8B6-9505B93118CD}"/>
    <hyperlink ref="A42" location="_Toc227098893" display="_Toc227098893" xr:uid="{25003DE1-7867-49E8-994D-BDA7C45ABDCD}"/>
    <hyperlink ref="B42" location="_Toc227098893" display="_Toc227098893" xr:uid="{B7546F65-9356-47A5-8935-615B89D94A3D}"/>
    <hyperlink ref="C42" location="_Toc227098893" display="_Toc227098893" xr:uid="{E4CCF917-D10C-4334-8863-CF651F515E11}"/>
    <hyperlink ref="A43" location="_Toc227098894" display="_Toc227098894" xr:uid="{EAB23D72-E751-4716-A7CA-42BA983124CC}"/>
    <hyperlink ref="B43" location="_Toc227098894" display="_Toc227098894" xr:uid="{989CE521-2A9B-4B19-B4CE-139A8582A8EF}"/>
    <hyperlink ref="C43" location="_Toc227098894" display="_Toc227098894" xr:uid="{0980B549-5254-4ED5-A70B-E6FB8967D8D5}"/>
    <hyperlink ref="A44" location="_Toc227098895" display="_Toc227098895" xr:uid="{2E5F31D9-C8E0-4BFD-AEA4-10ABF1DF00C4}"/>
    <hyperlink ref="B44" location="_Toc227098895" display="_Toc227098895" xr:uid="{AC860EE9-0400-401F-8062-E88B566F50BB}"/>
    <hyperlink ref="C44" location="_Toc227098895" display="_Toc227098895" xr:uid="{6C538538-D4DC-46FD-98C9-7797C774E0B0}"/>
    <hyperlink ref="A45" location="_Toc227098896" display="_Toc227098896" xr:uid="{356FFB36-016E-4ABD-B0E7-FB3F4BEDF578}"/>
    <hyperlink ref="B45" location="_Toc227098896" display="_Toc227098896" xr:uid="{42E3FC65-359A-4E72-A940-26F54E51F1A7}"/>
    <hyperlink ref="C45" location="_Toc227098896" display="_Toc227098896" xr:uid="{8D54C2A4-5B67-4D76-B62B-D34F45C420CA}"/>
    <hyperlink ref="A46" location="_Toc227098897" display="_Toc227098897" xr:uid="{C5CE0037-39A5-48E5-A80A-87685E843DFE}"/>
    <hyperlink ref="B46" location="_Toc227098897" display="_Toc227098897" xr:uid="{B1F224C1-E07E-4CB3-B41F-42FCDEC570C5}"/>
    <hyperlink ref="C46" location="_Toc227098897" display="_Toc227098897" xr:uid="{199663D6-DDAA-4488-9D3C-5343F02CCBBA}"/>
    <hyperlink ref="A47" location="_Toc227098898" display="_Toc227098898" xr:uid="{1DC17D97-141E-40FD-8BF0-F4600BFF3ED6}"/>
    <hyperlink ref="B47" location="_Toc227098898" display="_Toc227098898" xr:uid="{2A85AF31-3CC5-409B-9281-990FC9ED610A}"/>
    <hyperlink ref="C47" location="_Toc227098898" display="_Toc227098898" xr:uid="{C0EBABB4-8BD9-47C3-AC4F-D96605495804}"/>
    <hyperlink ref="A48" location="_Toc227098899" display="_Toc227098899" xr:uid="{E1052262-EE71-41A4-A57D-2517BCBBCB2B}"/>
    <hyperlink ref="B48" location="_Toc227098899" display="_Toc227098899" xr:uid="{4A8B03EF-3B01-41EB-96B1-0270EEF7936F}"/>
    <hyperlink ref="C48" location="_Toc227098899" display="_Toc227098899" xr:uid="{947B2AF6-23E0-4737-8816-87BDEFCF635A}"/>
    <hyperlink ref="A49" location="_Toc227098900" display="_Toc227098900" xr:uid="{1D62DE64-59E6-4004-841C-A58AE9FBF073}"/>
    <hyperlink ref="B49" location="_Toc227098900" display="_Toc227098900" xr:uid="{E9377BFD-AEB1-4075-98C8-D80A45EE5930}"/>
    <hyperlink ref="C49" location="_Toc227098900" display="_Toc227098900" xr:uid="{2DBADA2B-54D4-4E05-8334-E088DC497736}"/>
    <hyperlink ref="A50" location="_Toc227098901" display="_Toc227098901" xr:uid="{E4C4F41F-90EC-44FC-B497-4DA795828F4D}"/>
    <hyperlink ref="B50" location="_Toc227098901" display="_Toc227098901" xr:uid="{18761B33-22E2-477B-9EE4-85EB24829D74}"/>
    <hyperlink ref="C50" location="_Toc227098901" display="_Toc227098901" xr:uid="{345EC649-C036-4E5B-95C9-32EC60614B6D}"/>
    <hyperlink ref="A51" location="_Toc227098902" display="_Toc227098902" xr:uid="{3CB392BD-9434-4BF4-858B-142B085C8596}"/>
    <hyperlink ref="B51" location="_Toc227098902" display="_Toc227098902" xr:uid="{E20FD395-12F9-44B2-8675-B21C64C60982}"/>
    <hyperlink ref="C51" location="_Toc227098902" display="_Toc227098902" xr:uid="{699F2D26-94AB-469D-886A-748B5D2C4820}"/>
    <hyperlink ref="A52" location="_Toc227098903" display="_Toc227098903" xr:uid="{76901B87-D5D7-46D6-B829-C64936B1F336}"/>
    <hyperlink ref="B52" location="_Toc227098903" display="_Toc227098903" xr:uid="{C0710037-9FD9-446C-9A16-E1A9F60F8B3E}"/>
    <hyperlink ref="C52" location="_Toc227098903" display="_Toc227098903" xr:uid="{AF386AEB-33AD-43E4-92AA-82FD8FBB5086}"/>
    <hyperlink ref="A53" location="_Toc227098904" display="_Toc227098904" xr:uid="{7E7CD474-54E1-494E-A0A9-DF0F016089D8}"/>
    <hyperlink ref="B53" location="_Toc227098904" display="_Toc227098904" xr:uid="{BDEDB6F5-0335-4E51-8B24-090BB053995F}"/>
    <hyperlink ref="A54" location="_Toc227098905" display="_Toc227098905" xr:uid="{7CF69B29-ABE8-4711-9C9E-1F2676449C53}"/>
    <hyperlink ref="B54" location="_Toc227098905" display="_Toc227098905" xr:uid="{29A91AE8-B18D-4E43-B125-2271CFDB4EF6}"/>
    <hyperlink ref="C54" location="_Toc227098905" display="_Toc227098905" xr:uid="{11A044C6-BBBE-41DC-98FC-F77894ABF347}"/>
    <hyperlink ref="A55" location="_Toc227098906" display="_Toc227098906" xr:uid="{AF946979-4624-45F2-B3F8-5FD3283B39BF}"/>
    <hyperlink ref="B55" location="_Toc227098906" display="_Toc227098906" xr:uid="{8AF497A6-6126-4EBE-9497-0DCC76AC0687}"/>
    <hyperlink ref="C55" location="_Toc227098906" display="_Toc227098906" xr:uid="{95A3E342-6622-49A1-A10D-A8BD42B9009F}"/>
    <hyperlink ref="A56" location="_Toc227098907" display="_Toc227098907" xr:uid="{24230287-CAE1-4A75-86BB-95F5740918B4}"/>
    <hyperlink ref="B56" location="_Toc227098907" display="_Toc227098907" xr:uid="{0ED6941A-F806-4BF5-A577-1410ABF7780C}"/>
    <hyperlink ref="C56" location="_Toc227098907" display="_Toc227098907" xr:uid="{056279E4-4FDC-4D35-A95A-D91EEA727704}"/>
    <hyperlink ref="A57" location="_Toc227098908" display="_Toc227098908" xr:uid="{6988003A-5D35-4C12-BC48-728B8FBF46CA}"/>
    <hyperlink ref="B57" location="_Toc227098908" display="_Toc227098908" xr:uid="{640F895E-8C74-4CA1-ADC1-793C8E176D9C}"/>
    <hyperlink ref="C57" location="_Toc227098908" display="_Toc227098908" xr:uid="{366C500E-9337-4F6A-AF5D-9A3321F03C73}"/>
    <hyperlink ref="A58" location="_Toc227098909" display="_Toc227098909" xr:uid="{347837C4-E8E3-4F65-A8B4-D1C1A6028B59}"/>
    <hyperlink ref="B58" location="_Toc227098909" display="_Toc227098909" xr:uid="{B95C0C75-8576-49C5-ABC7-5151BFEA7D28}"/>
    <hyperlink ref="C58" location="_Toc227098909" display="_Toc227098909" xr:uid="{777798D2-3F99-4BB6-B85F-45786B06A293}"/>
    <hyperlink ref="A59" location="_Toc227098910" display="_Toc227098910" xr:uid="{6A3D5222-3F12-4EE6-8A1B-C514109D37C0}"/>
    <hyperlink ref="B59" location="_Toc227098910" display="_Toc227098910" xr:uid="{97E31440-0BA5-43FE-BEAE-756001F41861}"/>
    <hyperlink ref="C59" location="_Toc227098910" display="_Toc227098910" xr:uid="{3BA1D4D3-18D1-4328-BD35-A6216971CA78}"/>
    <hyperlink ref="A60" location="_Toc227098911" display="_Toc227098911" xr:uid="{B0EA824C-F2DB-45A0-8F25-EFA6917CB7B7}"/>
    <hyperlink ref="B60" location="_Toc227098911" display="_Toc227098911" xr:uid="{479F12AD-0FB3-463F-9641-394DB2A4D2BB}"/>
    <hyperlink ref="A61" location="_Toc227098912" display="_Toc227098912" xr:uid="{D76D547B-DB63-46A2-9126-2C25F498AB98}"/>
    <hyperlink ref="B61" location="_Toc227098912" display="_Toc227098912" xr:uid="{57B0A91D-0192-497C-91C9-67279F0E0105}"/>
    <hyperlink ref="C61" location="_Toc227098912" display="_Toc227098912" xr:uid="{1056C8A3-9190-447D-BA27-3B8BFD8EEBA6}"/>
    <hyperlink ref="A62" location="_Toc227098913" display="_Toc227098913" xr:uid="{4B587713-5F4F-4B75-9222-C739643370BB}"/>
    <hyperlink ref="B62" location="_Toc227098913" display="_Toc227098913" xr:uid="{63EC2B7F-1DE1-45E8-91FA-ACDC7D636EED}"/>
    <hyperlink ref="C62" location="_Toc227098913" display="_Toc227098913" xr:uid="{1AEC72D8-45C0-464B-8F13-60496E4FC84C}"/>
    <hyperlink ref="A63" location="_Toc227098914" display="_Toc227098914" xr:uid="{1E6E2144-C9B4-481C-AFFA-0730A5462C6D}"/>
    <hyperlink ref="B63" location="_Toc227098914" display="_Toc227098914" xr:uid="{5E201ADC-B44A-461C-A665-1C6A497FE74C}"/>
    <hyperlink ref="C63" location="_Toc227098914" display="_Toc227098914" xr:uid="{C2CBB943-BD7C-4B38-AEA2-C19A38D72382}"/>
    <hyperlink ref="A64" location="_Toc227098915" display="_Toc227098915" xr:uid="{15D8F7B5-780C-486A-B7F4-999575EA72A3}"/>
    <hyperlink ref="B64" location="_Toc227098915" display="_Toc227098915" xr:uid="{AF88AD5E-718D-425F-BBF2-52634F7DECB9}"/>
    <hyperlink ref="A65" location="_Toc227098916" display="_Toc227098916" xr:uid="{75914B65-F91A-4EB9-A6B7-76844323C31E}"/>
    <hyperlink ref="B65" location="_Toc227098916" display="_Toc227098916" xr:uid="{74DD3E6B-7EB3-4480-9B66-3EBCA0E657D9}"/>
    <hyperlink ref="C65" location="_Toc227098916" display="_Toc227098916" xr:uid="{B1C027D5-C345-4F70-83D3-2BDBF13F57C3}"/>
    <hyperlink ref="A66" location="_Toc227098917" display="_Toc227098917" xr:uid="{8AD6C647-18C7-46FE-9BAE-F634CCA48B00}"/>
    <hyperlink ref="B66" location="_Toc227098917" display="_Toc227098917" xr:uid="{898C5B72-F28B-4CDF-B980-0C2022DB4F81}"/>
    <hyperlink ref="C66" location="_Toc227098917" display="_Toc227098917" xr:uid="{F8327975-3408-47ED-8EDF-25722E2A3EF5}"/>
    <hyperlink ref="A67" location="_Toc227098918" display="_Toc227098918" xr:uid="{14F96407-7604-41ED-B8FE-674E69DC44BA}"/>
    <hyperlink ref="B67" location="_Toc227098918" display="_Toc227098918" xr:uid="{AAF8ED13-916E-462A-912F-BC728F6C720A}"/>
    <hyperlink ref="C67" location="_Toc227098918" display="_Toc227098918" xr:uid="{16743EC9-19A1-403B-BEC9-5D87908D9482}"/>
    <hyperlink ref="A68" location="_Toc227098919" display="_Toc227098919" xr:uid="{DC1A1A6D-5DBD-43CE-8F83-9C43AAB13370}"/>
    <hyperlink ref="B68" location="_Toc227098919" display="_Toc227098919" xr:uid="{BE6D135F-8001-49E4-85D5-273B0D2583BB}"/>
    <hyperlink ref="C68" location="_Toc227098919" display="_Toc227098919" xr:uid="{21849FFB-7B10-449F-8A53-71B461D44403}"/>
    <hyperlink ref="A69" location="_Toc227098920" display="_Toc227098920" xr:uid="{D5852C3A-21B1-48B3-B5BE-8C4112C452CF}"/>
    <hyperlink ref="B69" location="_Toc227098920" display="_Toc227098920" xr:uid="{22308B86-A468-442A-902A-5DC14A4DA4AF}"/>
    <hyperlink ref="C69" location="_Toc227098920" display="_Toc227098920" xr:uid="{F3CFA03A-B3C3-4D16-B208-CED574B77E11}"/>
    <hyperlink ref="A70" location="_Toc227098921" display="_Toc227098921" xr:uid="{AE1768BA-9AFE-43A4-BD44-F6F60E624DA0}"/>
    <hyperlink ref="B70" location="_Toc227098921" display="_Toc227098921" xr:uid="{B0D49985-06E7-4E75-8166-27C31BC25369}"/>
    <hyperlink ref="C70" location="_Toc227098921" display="_Toc227098921" xr:uid="{3E05DA09-F034-4B21-B785-8BC60C4FEFB1}"/>
    <hyperlink ref="A71" location="_Toc227098922" display="_Toc227098922" xr:uid="{DD43372D-2CD1-453C-A9C1-5C667C19B373}"/>
    <hyperlink ref="B71" location="_Toc227098922" display="_Toc227098922" xr:uid="{1A59E659-86B3-4552-BDFB-307DCFB3C40E}"/>
    <hyperlink ref="C71" location="_Toc227098922" display="_Toc227098922" xr:uid="{A63A612E-AEFE-4B1B-ADEA-60B10772E19B}"/>
    <hyperlink ref="A72" location="_Toc227098923" display="_Toc227098923" xr:uid="{7F27E27D-12CE-4DAB-B2BE-6BB48F3E3B07}"/>
    <hyperlink ref="B72" location="_Toc227098923" display="_Toc227098923" xr:uid="{04275927-832F-4764-8322-FF98E9F573DF}"/>
    <hyperlink ref="C72" location="_Toc227098923" display="_Toc227098923" xr:uid="{DD7EFA22-0C2F-4BDD-A8BB-8A147815CE79}"/>
    <hyperlink ref="A73" location="_Toc227098924" display="_Toc227098924" xr:uid="{F7852CED-6BF2-4E4A-B2B7-979A37C28165}"/>
    <hyperlink ref="B73" location="_Toc227098924" display="_Toc227098924" xr:uid="{305305FC-0EC0-42C0-8305-990545A4BF1F}"/>
    <hyperlink ref="C73" location="_Toc227098924" display="_Toc227098924" xr:uid="{3072EFDD-B11E-4B3B-8B66-8B15F1A51E36}"/>
    <hyperlink ref="A74" location="_Toc227098925" display="_Toc227098925" xr:uid="{A5CD0F34-53DC-40D7-9349-51989C174308}"/>
    <hyperlink ref="B74" location="_Toc227098925" display="_Toc227098925" xr:uid="{03D5BFC9-32C1-471E-8C3C-A27C18B17ED8}"/>
    <hyperlink ref="C74" location="_Toc227098925" display="_Toc227098925" xr:uid="{B48717A0-6D4B-4C24-A23E-1307CF6E460C}"/>
    <hyperlink ref="A75" location="_Toc227098926" display="_Toc227098926" xr:uid="{1175E0DB-2A6F-41E8-B443-0A3791E5F879}"/>
    <hyperlink ref="B75" location="_Toc227098926" display="_Toc227098926" xr:uid="{8AD83760-3963-479E-A8F4-221E975BAB41}"/>
    <hyperlink ref="C75" location="_Toc227098926" display="_Toc227098926" xr:uid="{8E79D64C-3028-47CE-8C9E-A1C8B7ECBDEA}"/>
    <hyperlink ref="A76" location="_Toc227098927" display="_Toc227098927" xr:uid="{2A048BA0-92AF-440C-8AEE-1A3DAD3DDDD7}"/>
    <hyperlink ref="B76" location="_Toc227098927" display="_Toc227098927" xr:uid="{9A29CC2A-055F-46A4-A5F0-F983DDABD3B5}"/>
    <hyperlink ref="C76" location="_Toc227098927" display="_Toc227098927" xr:uid="{4D138B78-6C2A-49FD-B45B-8903768A32D5}"/>
    <hyperlink ref="A77" location="_Toc227098928" display="_Toc227098928" xr:uid="{04E85A5C-75EA-4F82-A868-993CD90FBA96}"/>
    <hyperlink ref="B77" location="_Toc227098928" display="_Toc227098928" xr:uid="{C0C92486-D712-4F0F-B595-0D8CE920DB70}"/>
    <hyperlink ref="C77" location="_Toc227098928" display="_Toc227098928" xr:uid="{F7F112F4-82AD-4470-9D4B-37AE357BB984}"/>
    <hyperlink ref="A78" location="_Toc227098929" display="_Toc227098929" xr:uid="{8DF27988-804F-4B02-BF17-0ED86955E3D2}"/>
    <hyperlink ref="B78" location="_Toc227098929" display="_Toc227098929" xr:uid="{74CC141A-7116-497C-BE17-D0F109E16FCA}"/>
    <hyperlink ref="C78" location="_Toc227098929" display="_Toc227098929" xr:uid="{E33D3192-CC6E-4522-B161-554429407B97}"/>
    <hyperlink ref="A79" location="_Toc227098930" display="_Toc227098930" xr:uid="{54C8C0DC-B344-4056-82D0-EE4EE5CDB940}"/>
    <hyperlink ref="B79" location="_Toc227098930" display="_Toc227098930" xr:uid="{90E2418E-8E67-4248-B0DA-6E294BB9973A}"/>
    <hyperlink ref="C79" location="_Toc227098930" display="_Toc227098930" xr:uid="{79465147-B72D-49B6-A563-2F58D1A28715}"/>
    <hyperlink ref="A80" location="_Toc227098931" display="_Toc227098931" xr:uid="{87E79E8D-182F-4E51-9237-8A5F430FAD1D}"/>
    <hyperlink ref="B80" location="_Toc227098931" display="_Toc227098931" xr:uid="{725E9E7D-BA34-4EDE-849B-0A9D0553C4AD}"/>
    <hyperlink ref="C80" location="_Toc227098931" display="_Toc227098931" xr:uid="{AC417E94-92F1-4977-9027-053A1340FF3A}"/>
    <hyperlink ref="A81" location="_Toc227098932" display="_Toc227098932" xr:uid="{642F1BCB-6733-4D13-936F-84A585BA57D9}"/>
    <hyperlink ref="B81" location="_Toc227098932" display="_Toc227098932" xr:uid="{364E3C76-16A1-46EE-BCD3-07E70429441D}"/>
    <hyperlink ref="C81" location="_Toc227098932" display="_Toc227098932" xr:uid="{26DCCE71-54F9-4092-906D-D509DEFBEED6}"/>
    <hyperlink ref="A82" location="_Toc227098933" display="_Toc227098933" xr:uid="{E6881D5F-EBDD-40A3-8397-39C7ADCA233C}"/>
    <hyperlink ref="B82" location="_Toc227098933" display="_Toc227098933" xr:uid="{45B2C422-468C-44C7-B8B6-F577341D59FF}"/>
    <hyperlink ref="C82" location="_Toc227098933" display="_Toc227098933" xr:uid="{395579A2-F716-494C-B742-E30BA22F6F59}"/>
    <hyperlink ref="A83" location="_Toc227098934" display="_Toc227098934" xr:uid="{85DF5331-631C-4A57-9ED9-01BDB5E86C36}"/>
    <hyperlink ref="B83" location="_Toc227098934" display="_Toc227098934" xr:uid="{F3648DC8-BEFA-46F9-AF62-B3D5E88E0E53}"/>
    <hyperlink ref="C83" location="_Toc227098934" display="_Toc227098934" xr:uid="{E3A6CEFE-7FE3-473E-BAD8-7657F348734A}"/>
    <hyperlink ref="A84" location="_Toc227098935" display="_Toc227098935" xr:uid="{A19C718C-66D7-4769-A2E2-07B248772874}"/>
    <hyperlink ref="B84" location="_Toc227098935" display="_Toc227098935" xr:uid="{1703ED85-DF3B-40D4-A898-43735C987876}"/>
    <hyperlink ref="C84" location="_Toc227098935" display="_Toc227098935" xr:uid="{B5B0AA2B-4983-4879-8BF7-1E142AFF8744}"/>
    <hyperlink ref="A85" location="_Toc227098936" display="_Toc227098936" xr:uid="{53649CB7-6E81-4E04-AECF-FF9C42C1A718}"/>
    <hyperlink ref="B85" location="_Toc227098936" display="_Toc227098936" xr:uid="{B9092E37-EB38-4605-8FA5-D689D902D4C5}"/>
    <hyperlink ref="C85" location="_Toc227098936" display="_Toc227098936" xr:uid="{4A7F83EB-C39C-4284-B000-0397CD44A71D}"/>
    <hyperlink ref="A86" location="_Toc227098937" display="_Toc227098937" xr:uid="{EB32F6BF-65D7-4D70-B9CE-C4D91C7BD899}"/>
    <hyperlink ref="B86" location="_Toc227098937" display="_Toc227098937" xr:uid="{07332931-381A-4C90-AEE3-319F272CACEB}"/>
    <hyperlink ref="C86" location="_Toc227098937" display="_Toc227098937" xr:uid="{1F560D2A-0506-4DA7-92C7-314F1AA6DE59}"/>
    <hyperlink ref="A87" location="_Toc227098938" display="_Toc227098938" xr:uid="{0D153EF1-B04D-4509-B317-D4B0FAD37BA1}"/>
    <hyperlink ref="B87" location="_Toc227098938" display="_Toc227098938" xr:uid="{63D1A283-C2ED-4D0F-AE95-8173ED24F1E5}"/>
    <hyperlink ref="C87" location="_Toc227098938" display="_Toc227098938" xr:uid="{E72805CF-5D18-4718-82EA-2E54AD6CB701}"/>
    <hyperlink ref="A88" location="_Toc227098939" display="_Toc227098939" xr:uid="{61CE0DA6-3778-48E3-96F1-D7ECD5D57148}"/>
    <hyperlink ref="B88" location="_Toc227098939" display="_Toc227098939" xr:uid="{722C8141-65E8-4CBB-8CE2-91AC9FC02A17}"/>
    <hyperlink ref="C88" location="_Toc227098939" display="_Toc227098939" xr:uid="{A886D5F8-3388-4D70-B062-BD3DEC936EDD}"/>
    <hyperlink ref="A89" location="_Toc227098940" display="_Toc227098940" xr:uid="{4C855A4D-AA19-4677-BD4A-869600D3C832}"/>
    <hyperlink ref="B89" location="_Toc227098940" display="_Toc227098940" xr:uid="{93D9412F-FECC-4E11-9A2F-5544BB011400}"/>
    <hyperlink ref="C89" location="_Toc227098940" display="_Toc227098940" xr:uid="{4335E8D3-F95C-4C12-BC64-DE6B902A33FA}"/>
    <hyperlink ref="A90" location="_Toc227098941" display="_Toc227098941" xr:uid="{72D5E4A5-E03C-47B5-895E-873094BCD218}"/>
    <hyperlink ref="B90" location="_Toc227098941" display="_Toc227098941" xr:uid="{A8FB4258-BD6A-459C-AAA2-9BB457FC0392}"/>
    <hyperlink ref="C90" location="_Toc227098941" display="_Toc227098941" xr:uid="{DE0603FF-9B46-4BFB-99BB-CE1BDFCEDE86}"/>
    <hyperlink ref="A91" location="_Toc227098942" display="_Toc227098942" xr:uid="{6185F8AB-C80C-4B6E-8CF5-3D3DF071ABC2}"/>
    <hyperlink ref="B91" location="_Toc227098942" display="_Toc227098942" xr:uid="{292E8575-C6D0-4FC9-B26C-E015DD922135}"/>
    <hyperlink ref="C91" location="_Toc227098942" display="_Toc227098942" xr:uid="{2423BA54-31C0-43A4-8C88-9B8AEBF94554}"/>
    <hyperlink ref="A92" location="_Toc227098943" display="_Toc227098943" xr:uid="{F8A6FCAF-9FD1-469C-BFE6-31D66C04AD6C}"/>
    <hyperlink ref="B92" location="_Toc227098943" display="_Toc227098943" xr:uid="{001CADC7-C44C-4636-A564-E1AA74A6951C}"/>
    <hyperlink ref="C92" location="_Toc227098943" display="_Toc227098943" xr:uid="{5813CF47-C979-4063-BCA2-F4298DF8C9C3}"/>
    <hyperlink ref="A93" location="_Toc227098944" display="_Toc227098944" xr:uid="{A196EA37-1356-4A8D-9405-37E36A4C4FDF}"/>
    <hyperlink ref="B93" location="_Toc227098944" display="_Toc227098944" xr:uid="{CA7A91AA-6487-4BC0-9B19-3D71BF7BA8DA}"/>
    <hyperlink ref="C93" location="_Toc227098944" display="_Toc227098944" xr:uid="{7189CDD2-669E-4D9E-BAC8-162D82B8A588}"/>
    <hyperlink ref="A94" location="_Toc227098945" display="_Toc227098945" xr:uid="{E50BCD40-A40E-4889-BFA1-E39F2F4DAF8F}"/>
    <hyperlink ref="B94" location="_Toc227098945" display="_Toc227098945" xr:uid="{E9DC6BEE-2B60-4956-AA15-AEDDDCA89188}"/>
    <hyperlink ref="C94" location="_Toc227098945" display="_Toc227098945" xr:uid="{6EEFEDBD-124E-4599-BE78-DC5D3BD90C03}"/>
    <hyperlink ref="A95" location="_Toc227098946" display="_Toc227098946" xr:uid="{BB5E7C1B-662D-457A-AD5D-749FCCB0BC44}"/>
    <hyperlink ref="B95" location="_Toc227098946" display="_Toc227098946" xr:uid="{DBC032DE-482D-4695-8650-60AD182CE309}"/>
    <hyperlink ref="C95" location="_Toc227098946" display="_Toc227098946" xr:uid="{2449F84A-2FC4-46BF-8990-F1DEA9315070}"/>
    <hyperlink ref="A96" location="_Toc227098947" display="_Toc227098947" xr:uid="{B1C3A4C5-00E2-4702-982D-6D32DD92861F}"/>
    <hyperlink ref="B96" location="_Toc227098947" display="_Toc227098947" xr:uid="{F9BFF1A1-011E-4667-85F9-7301D605220B}"/>
    <hyperlink ref="C96" location="_Toc227098947" display="_Toc227098947" xr:uid="{13772042-7677-4523-A2D0-79CF8413FADF}"/>
    <hyperlink ref="A97" location="_Toc227098948" display="_Toc227098948" xr:uid="{028132D2-4526-4338-A10E-403AF07225AB}"/>
    <hyperlink ref="B97" location="_Toc227098948" display="_Toc227098948" xr:uid="{CA41BC7D-A3A6-484C-855D-4042A7A4568A}"/>
    <hyperlink ref="C97" location="_Toc227098948" display="_Toc227098948" xr:uid="{7BD1121F-D720-421A-BC54-55A203AC1DE1}"/>
    <hyperlink ref="A98" location="_Toc227098949" display="_Toc227098949" xr:uid="{6B95823F-ED46-4856-85D1-EA035E6FF820}"/>
    <hyperlink ref="B98" location="_Toc227098949" display="_Toc227098949" xr:uid="{355BE204-7985-4FBE-B41F-C43FE56B3EE7}"/>
    <hyperlink ref="C98" location="_Toc227098949" display="_Toc227098949" xr:uid="{5139030A-3059-4AFF-BE05-9B12400AE821}"/>
    <hyperlink ref="A99" location="_Toc227098950" display="_Toc227098950" xr:uid="{4B3B802B-49D8-42FF-A12F-D87265D99DAC}"/>
    <hyperlink ref="B99" location="_Toc227098950" display="_Toc227098950" xr:uid="{48BD37E5-F298-4C1C-B1E9-E566A6264EEF}"/>
    <hyperlink ref="C99" location="_Toc227098950" display="_Toc227098950" xr:uid="{E276F6BF-F7C1-4672-81F6-13B7F9A5BB21}"/>
    <hyperlink ref="A100" location="_Toc227098951" display="_Toc227098951" xr:uid="{73C8F32B-9666-45AC-99B6-BDEDC0ECC574}"/>
    <hyperlink ref="B100" location="_Toc227098951" display="_Toc227098951" xr:uid="{2A16D527-1285-454F-B7A2-F07BC76AB71C}"/>
    <hyperlink ref="C100" location="_Toc227098951" display="_Toc227098951" xr:uid="{7527E9B2-104E-4471-9526-D088122BE259}"/>
    <hyperlink ref="A101" location="_Toc227098952" display="_Toc227098952" xr:uid="{275E4D69-A2E9-4E83-970C-F478B3864839}"/>
    <hyperlink ref="B101" location="_Toc227098952" display="_Toc227098952" xr:uid="{F2ABD0A5-95C0-49A0-A154-415A057696B0}"/>
    <hyperlink ref="C101" location="_Toc227098952" display="_Toc227098952" xr:uid="{A26CD447-4EC3-4B08-B05F-608233F4BB1B}"/>
    <hyperlink ref="A102" location="_Toc227098953" display="_Toc227098953" xr:uid="{4D3C4DB9-51AD-4651-AB98-8FED9FE44534}"/>
    <hyperlink ref="B102" location="_Toc227098953" display="_Toc227098953" xr:uid="{E585A141-E335-46B9-B3DB-D6FA11D3C8A3}"/>
    <hyperlink ref="C102" location="_Toc227098953" display="_Toc227098953" xr:uid="{AF884B0F-63DE-457D-8299-4CBD106285BC}"/>
    <hyperlink ref="A103" location="_Toc227098954" display="_Toc227098954" xr:uid="{69717D5F-DB2F-4651-BE46-B1CDCB5A6679}"/>
    <hyperlink ref="B103" location="_Toc227098954" display="_Toc227098954" xr:uid="{FF270A7C-884B-4ACE-9D8F-13CF1391BBDE}"/>
    <hyperlink ref="C103" location="_Toc227098954" display="_Toc227098954" xr:uid="{0A985DE3-046C-492E-A00A-9A9D625BE3AA}"/>
    <hyperlink ref="A104" location="_Toc227098955" display="_Toc227098955" xr:uid="{37EF2058-AA6C-4DBA-A277-8F9AF0EA39AA}"/>
    <hyperlink ref="B104" location="_Toc227098955" display="_Toc227098955" xr:uid="{36DEE29F-ED70-4146-9462-FA002BF258E2}"/>
    <hyperlink ref="C104" location="_Toc227098955" display="_Toc227098955" xr:uid="{C54CD3AF-0175-4A43-8344-AFC40FF1A5BA}"/>
    <hyperlink ref="A105" location="_Toc227098956" display="_Toc227098956" xr:uid="{9D679897-0132-41F3-8E4E-8564BD63CEA2}"/>
    <hyperlink ref="B105" location="_Toc227098956" display="_Toc227098956" xr:uid="{DCA7B6B8-691C-46D1-8810-B2C4013DC12E}"/>
    <hyperlink ref="C105" location="_Toc227098956" display="_Toc227098956" xr:uid="{CB1E6D98-54F4-41AD-B5BC-D8D30461A8A5}"/>
    <hyperlink ref="A106" location="_Toc227098957" display="_Toc227098957" xr:uid="{09C47FB7-CDE7-4B5D-80BB-2B3FBA31117F}"/>
    <hyperlink ref="B106" location="_Toc227098957" display="_Toc227098957" xr:uid="{737FED04-F1DC-4DBC-8F6B-FE7B61A1DDDB}"/>
    <hyperlink ref="C106" location="_Toc227098957" display="_Toc227098957" xr:uid="{A3E5F3E0-759C-4267-9D54-ED4FA5D63332}"/>
    <hyperlink ref="A107" location="_Toc227098958" display="_Toc227098958" xr:uid="{2D55831D-F8A9-486B-A949-1C97C27D47F0}"/>
    <hyperlink ref="B107" location="_Toc227098958" display="_Toc227098958" xr:uid="{BCD05BE8-D6BD-43F0-88E3-61E62C5DA67D}"/>
    <hyperlink ref="C107" location="_Toc227098958" display="_Toc227098958" xr:uid="{161BE034-C5A1-4DE8-A521-28F080EACEEA}"/>
    <hyperlink ref="A108" location="_Toc227098959" display="_Toc227098959" xr:uid="{B3D9DF30-67DE-4FD4-935F-2AA205CEBF58}"/>
    <hyperlink ref="B108" location="_Toc227098959" display="_Toc227098959" xr:uid="{9FF5DB76-CD47-40EB-8E12-16BCCAA82B01}"/>
    <hyperlink ref="C108" location="_Toc227098959" display="_Toc227098959" xr:uid="{93DAD96B-D647-402F-81FA-443A063A2857}"/>
    <hyperlink ref="A109" location="_Toc227098960" display="_Toc227098960" xr:uid="{BA67BDA0-4966-4C9E-9848-B1B50B270412}"/>
    <hyperlink ref="B109" location="_Toc227098960" display="_Toc227098960" xr:uid="{C97B8906-96C6-4C95-A194-4AC1A1D9BCE0}"/>
    <hyperlink ref="C109" location="_Toc227098960" display="_Toc227098960" xr:uid="{40DDF4BA-885D-4179-9451-A84B75C5D6C9}"/>
    <hyperlink ref="A110" location="_Toc227098961" display="_Toc227098961" xr:uid="{FF2FA9B8-B120-450A-B968-5FC8A69CD573}"/>
    <hyperlink ref="B110" location="_Toc227098961" display="_Toc227098961" xr:uid="{FB06C93D-8D2C-4395-95AD-66CA74814CF7}"/>
    <hyperlink ref="C110" location="_Toc227098961" display="_Toc227098961" xr:uid="{BE454133-801F-41F7-B105-580F9C256462}"/>
    <hyperlink ref="A111" location="_Toc227098962" display="_Toc227098962" xr:uid="{5F6AD380-122C-4616-A721-0FA79A4D8FDE}"/>
    <hyperlink ref="B111" location="_Toc227098962" display="_Toc227098962" xr:uid="{052A2BC6-062F-4E59-A4D6-B9D00B0CAAE8}"/>
    <hyperlink ref="A112" location="_Toc227098963" display="_Toc227098963" xr:uid="{B226365E-B371-4014-902E-444FD49176FE}"/>
    <hyperlink ref="B112" location="_Toc227098963" display="_Toc227098963" xr:uid="{E2153C54-244F-46D0-8994-EB7CEC4ABF0E}"/>
    <hyperlink ref="C112" location="_Toc227098963" display="_Toc227098963" xr:uid="{E9B6E5CF-97F6-4295-96BC-7EF859028717}"/>
    <hyperlink ref="A113" location="_Toc227098964" display="_Toc227098964" xr:uid="{B20F37D8-3338-430D-9692-6C66340CA1BF}"/>
    <hyperlink ref="B113" location="_Toc227098964" display="_Toc227098964" xr:uid="{CF0E28D5-4725-48B9-89CF-EA3E3F641350}"/>
    <hyperlink ref="C113" location="_Toc227098964" display="_Toc227098964" xr:uid="{C89505A1-B6FB-48A6-BAAC-70698B8961E7}"/>
    <hyperlink ref="A114" location="_Toc227098965" display="_Toc227098965" xr:uid="{8C2C4C58-B6A3-475C-9359-3442256E84AE}"/>
    <hyperlink ref="B114" location="_Toc227098965" display="_Toc227098965" xr:uid="{B1C8E5C2-4B5F-471A-B85F-413D91B771C6}"/>
    <hyperlink ref="C114" location="_Toc227098965" display="_Toc227098965" xr:uid="{FA195599-CA27-439D-AEA3-C9A017C5BBED}"/>
    <hyperlink ref="A115" location="_Toc227098966" display="_Toc227098966" xr:uid="{078C00F3-39CF-4CEE-9D62-0187D8F6FEB3}"/>
    <hyperlink ref="B115" location="_Toc227098966" display="_Toc227098966" xr:uid="{C456E478-1115-4D21-A288-AAD33A835C2D}"/>
    <hyperlink ref="C115" location="_Toc227098966" display="_Toc227098966" xr:uid="{CE32CE42-E147-48A3-8B16-88CF1B9327E8}"/>
    <hyperlink ref="A116" location="_Toc227098967" display="_Toc227098967" xr:uid="{EB425BFE-38EF-42EB-91A6-262D63E3B676}"/>
    <hyperlink ref="B116" location="_Toc227098967" display="_Toc227098967" xr:uid="{9A18D2BF-2973-49C1-A16A-AF71618B5465}"/>
    <hyperlink ref="C116" location="_Toc227098967" display="_Toc227098967" xr:uid="{721719FF-A9A5-4329-975E-FC0E1AEDA6D6}"/>
    <hyperlink ref="A117" location="_Toc227098968" display="_Toc227098968" xr:uid="{04798847-CE15-444C-BB64-3116979AB473}"/>
    <hyperlink ref="B117" location="_Toc227098968" display="_Toc227098968" xr:uid="{1EF27858-D138-490C-A190-C09BF736AE05}"/>
    <hyperlink ref="C117" location="_Toc227098968" display="_Toc227098968" xr:uid="{629CF71D-AACF-4160-ABFB-D603D7055773}"/>
    <hyperlink ref="A118" location="_Toc227098969" display="_Toc227098969" xr:uid="{6F0F881B-38F8-4F29-9C7D-FD71D391F2EC}"/>
    <hyperlink ref="B118" location="_Toc227098969" display="_Toc227098969" xr:uid="{199753FD-BD1E-4A05-A793-4B81E2138D73}"/>
    <hyperlink ref="C118" location="_Toc227098969" display="_Toc227098969" xr:uid="{8F1DEB2D-2C54-4488-B958-DEBB6A2C4AF4}"/>
    <hyperlink ref="A119" location="_Toc227098970" display="_Toc227098970" xr:uid="{F9191E16-5067-4883-8FB9-07C4412DCD1D}"/>
    <hyperlink ref="B119" location="_Toc227098970" display="_Toc227098970" xr:uid="{614EE3D7-914F-4195-A46F-5E8C19483518}"/>
    <hyperlink ref="C119" location="_Toc227098970" display="_Toc227098970" xr:uid="{439DCDC6-4CB1-46C8-81FF-4C0C2748C879}"/>
    <hyperlink ref="A120" location="_Toc227098971" display="_Toc227098971" xr:uid="{69660E09-3AB8-42B1-8024-D9510DFC9CFD}"/>
    <hyperlink ref="B120" location="_Toc227098971" display="_Toc227098971" xr:uid="{1049DD20-0A9E-46C3-98FA-F8B554937B9C}"/>
    <hyperlink ref="C120" location="_Toc227098971" display="_Toc227098971" xr:uid="{681B6EEF-9776-41D4-A291-96F4D825D2BD}"/>
    <hyperlink ref="A121" location="_Toc227098972" display="_Toc227098972" xr:uid="{601C42A4-EB74-48E8-B022-74E0C29475F2}"/>
    <hyperlink ref="B121" location="_Toc227098972" display="_Toc227098972" xr:uid="{BBC63CC2-7027-4DA9-A074-408B35E14206}"/>
    <hyperlink ref="C121" location="_Toc227098972" display="_Toc227098972" xr:uid="{DCCABE10-16EC-4FCD-8449-69A8B87B66A9}"/>
    <hyperlink ref="A122" location="_Toc227098973" display="_Toc227098973" xr:uid="{303FA921-D117-4674-8F45-2A4D4546A3A2}"/>
    <hyperlink ref="B122" location="_Toc227098973" display="_Toc227098973" xr:uid="{FF73F34F-E795-4962-9404-EC5D0819B6CF}"/>
    <hyperlink ref="C122" location="_Toc227098973" display="_Toc227098973" xr:uid="{9905C06A-519F-4983-9FF0-4C0980F7CFDD}"/>
    <hyperlink ref="A123" location="_Toc227098974" display="_Toc227098974" xr:uid="{31C7E9C8-503E-44FD-A211-49968E55CFED}"/>
    <hyperlink ref="B123" location="_Toc227098974" display="_Toc227098974" xr:uid="{AE8AE0FC-8945-4344-85D9-62A3B385C4D2}"/>
    <hyperlink ref="C123" location="_Toc227098974" display="_Toc227098974" xr:uid="{2AFF9916-C2D8-4266-9858-48FA958A4405}"/>
    <hyperlink ref="A124" location="_Toc227098975" display="_Toc227098975" xr:uid="{344E7DC9-1B59-41F4-89D4-9BE3B8028C41}"/>
    <hyperlink ref="B124" location="_Toc227098975" display="_Toc227098975" xr:uid="{E2DCF7B0-0810-4289-B08B-A8E89ED51B15}"/>
    <hyperlink ref="C124" location="_Toc227098975" display="_Toc227098975" xr:uid="{2C2C067B-CE7C-4FC8-9182-4AAFA21D33C6}"/>
    <hyperlink ref="A125" location="_Toc227098976" display="_Toc227098976" xr:uid="{DCB77F43-59BD-4333-BA2D-3E80B7ABE5B1}"/>
    <hyperlink ref="B125" location="_Toc227098976" display="_Toc227098976" xr:uid="{33385ABC-377C-40B8-A7B2-0A76D4819707}"/>
    <hyperlink ref="C125" location="_Toc227098976" display="_Toc227098976" xr:uid="{5A958A5C-5A21-4037-BEFE-67E0BDABB176}"/>
    <hyperlink ref="A126" location="_Toc227098977" display="_Toc227098977" xr:uid="{5B27F8FF-EC25-4E92-A415-26F141129347}"/>
    <hyperlink ref="B126" location="_Toc227098977" display="_Toc227098977" xr:uid="{5AD72038-1D65-49BE-925F-7F341F325B38}"/>
    <hyperlink ref="C126" location="_Toc227098977" display="_Toc227098977" xr:uid="{35B6326B-8A4A-4635-AA0F-AEA459D0FE2B}"/>
    <hyperlink ref="A127" location="_Toc227098978" display="_Toc227098978" xr:uid="{C8660DC0-E49B-45AE-AD72-1A5DF50D9518}"/>
    <hyperlink ref="B127" location="_Toc227098978" display="_Toc227098978" xr:uid="{6FA34063-3BE7-415B-90C7-34BADA68FAA5}"/>
    <hyperlink ref="C127" location="_Toc227098978" display="_Toc227098978" xr:uid="{D547F37E-8867-47DA-9432-A0C874EF20DD}"/>
    <hyperlink ref="A128" location="_Toc227098979" display="_Toc227098979" xr:uid="{A15E44E3-C055-4E3D-BA08-D2C407875503}"/>
    <hyperlink ref="B128" location="_Toc227098979" display="_Toc227098979" xr:uid="{80E4BBC8-9C29-4B90-9BF9-905157266774}"/>
    <hyperlink ref="C128" location="_Toc227098979" display="_Toc227098979" xr:uid="{3AC8AB30-44F7-4DFC-9CA5-EAF5E5D571D6}"/>
    <hyperlink ref="A129" location="_Toc227098980" display="_Toc227098980" xr:uid="{6D800B9F-C2BB-43DE-97F9-20F77FA58DD6}"/>
    <hyperlink ref="B129" location="_Toc227098980" display="_Toc227098980" xr:uid="{50528B61-8ABE-405B-8C37-55F9F10509CF}"/>
    <hyperlink ref="C129" location="_Toc227098980" display="_Toc227098980" xr:uid="{188885A6-0C6A-4265-A0BE-179972A6771D}"/>
    <hyperlink ref="A130" location="_Toc227098981" display="_Toc227098981" xr:uid="{E957822A-625E-4F99-9553-31F1A7FCAF72}"/>
    <hyperlink ref="B130" location="_Toc227098981" display="_Toc227098981" xr:uid="{8F932EA3-FCE0-4DFB-B3B7-02134DDF0363}"/>
    <hyperlink ref="C130" location="_Toc227098981" display="_Toc227098981" xr:uid="{E025998B-17B0-482C-80F1-9CB9AE7AB618}"/>
    <hyperlink ref="A131" location="_Toc227098982" display="_Toc227098982" xr:uid="{D97A30D1-F783-4030-AFF9-E852A6DEE72E}"/>
    <hyperlink ref="B131" location="_Toc227098982" display="_Toc227098982" xr:uid="{10437231-A79D-4A07-81B4-B253F2353C56}"/>
    <hyperlink ref="C131" location="_Toc227098982" display="_Toc227098982" xr:uid="{07FA5F60-BC58-478E-B441-2B08530B19A4}"/>
    <hyperlink ref="A132" location="_Toc227098983" display="_Toc227098983" xr:uid="{0220DBBA-D1EC-402F-9FE3-11E0437BB214}"/>
    <hyperlink ref="B132" location="_Toc227098983" display="_Toc227098983" xr:uid="{40DA45B5-F820-411F-9DE2-3A02F7D375EF}"/>
    <hyperlink ref="C132" location="_Toc227098983" display="_Toc227098983" xr:uid="{E2B287FB-A94A-4A11-9080-86033B2DED7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87dcc16-ad9c-4aed-8595-d8b714944830">
      <Terms xmlns="http://schemas.microsoft.com/office/infopath/2007/PartnerControls"/>
    </lcf76f155ced4ddcb4097134ff3c332f>
    <TaxCatchAll xmlns="eb4e1f33-0654-4877-a695-74ac1243131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3553A73F55864994CAF6806DB2233B" ma:contentTypeVersion="15" ma:contentTypeDescription="Crear nuevo documento." ma:contentTypeScope="" ma:versionID="484b429f64a896cf9121b5ac5a445701">
  <xsd:schema xmlns:xsd="http://www.w3.org/2001/XMLSchema" xmlns:xs="http://www.w3.org/2001/XMLSchema" xmlns:p="http://schemas.microsoft.com/office/2006/metadata/properties" xmlns:ns2="787dcc16-ad9c-4aed-8595-d8b714944830" xmlns:ns3="eb4e1f33-0654-4877-a695-74ac1243131b" targetNamespace="http://schemas.microsoft.com/office/2006/metadata/properties" ma:root="true" ma:fieldsID="dd883e4f23756e7d91dbb93f630d1c1d" ns2:_="" ns3:_="">
    <xsd:import namespace="787dcc16-ad9c-4aed-8595-d8b714944830"/>
    <xsd:import namespace="eb4e1f33-0654-4877-a695-74ac124313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dcc16-ad9c-4aed-8595-d8b7149448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255b28e8-f6d8-41f4-8dfa-69b184ca5c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e1f33-0654-4877-a695-74ac124313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aa4390d4-2628-4064-8b8a-3c2a6eda6940}" ma:internalName="TaxCatchAll" ma:showField="CatchAllData" ma:web="eb4e1f33-0654-4877-a695-74ac124313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E9B958-9418-4A98-8F85-D5A77DEB19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9DE103-2370-4EAB-B038-A3D7F13C5755}">
  <ds:schemaRefs>
    <ds:schemaRef ds:uri="http://schemas.microsoft.com/office/2006/metadata/properties"/>
    <ds:schemaRef ds:uri="http://schemas.microsoft.com/office/infopath/2007/PartnerControls"/>
    <ds:schemaRef ds:uri="787dcc16-ad9c-4aed-8595-d8b714944830"/>
    <ds:schemaRef ds:uri="eb4e1f33-0654-4877-a695-74ac1243131b"/>
  </ds:schemaRefs>
</ds:datastoreItem>
</file>

<file path=customXml/itemProps3.xml><?xml version="1.0" encoding="utf-8"?>
<ds:datastoreItem xmlns:ds="http://schemas.openxmlformats.org/officeDocument/2006/customXml" ds:itemID="{54CB6253-086C-4DD9-9A75-7616EB60A5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7dcc16-ad9c-4aed-8595-d8b714944830"/>
    <ds:schemaRef ds:uri="eb4e1f33-0654-4877-a695-74ac124313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179</vt:i4>
      </vt:variant>
    </vt:vector>
  </HeadingPairs>
  <TitlesOfParts>
    <vt:vector size="189" baseType="lpstr">
      <vt:lpstr>INSTRUCCIONES</vt:lpstr>
      <vt:lpstr>PORTADA PERÍODO</vt:lpstr>
      <vt:lpstr>LISTA DE CHEQUEO</vt:lpstr>
      <vt:lpstr>CONSOLIDADO</vt:lpstr>
      <vt:lpstr>CRITERIOS DE VERIFICACIÓN</vt:lpstr>
      <vt:lpstr>RESUMEN</vt:lpstr>
      <vt:lpstr>HALLAZGOS Y ACCIONES</vt:lpstr>
      <vt:lpstr>HISTÓRICO</vt:lpstr>
      <vt:lpstr>PROCESO</vt:lpstr>
      <vt:lpstr>TB_CONTENIDO</vt:lpstr>
      <vt:lpstr>TB_CONTENIDO!_Hlk160088037</vt:lpstr>
      <vt:lpstr>TB_CONTENIDO!_Hlk219801894</vt:lpstr>
      <vt:lpstr>TB_CONTENIDO!_Hlk509415286</vt:lpstr>
      <vt:lpstr>TB_CONTENIDO!_Int_4dZwZgYt</vt:lpstr>
      <vt:lpstr>TB_CONTENIDO!_Int_bwhai4qf</vt:lpstr>
      <vt:lpstr>TB_CONTENIDO!_Int_gxGI6NX6</vt:lpstr>
      <vt:lpstr>TB_CONTENIDO!_Int_hlT4tKsj</vt:lpstr>
      <vt:lpstr>TB_CONTENIDO!_Int_NdsI6ssT</vt:lpstr>
      <vt:lpstr>TB_CONTENIDO!_Int_RgTDtiOI</vt:lpstr>
      <vt:lpstr>TB_CONTENIDO!_Int_UVNgvkK8</vt:lpstr>
      <vt:lpstr>TB_CONTENIDO!_Toc140848061</vt:lpstr>
      <vt:lpstr>TB_CONTENIDO!_Toc156210732</vt:lpstr>
      <vt:lpstr>TB_CONTENIDO!_Toc156210735</vt:lpstr>
      <vt:lpstr>TB_CONTENIDO!_Toc205885636</vt:lpstr>
      <vt:lpstr>TB_CONTENIDO!_Toc205885637</vt:lpstr>
      <vt:lpstr>TB_CONTENIDO!_Toc205885644</vt:lpstr>
      <vt:lpstr>TB_CONTENIDO!_Toc205885646</vt:lpstr>
      <vt:lpstr>TB_CONTENIDO!_Toc205885647</vt:lpstr>
      <vt:lpstr>TB_CONTENIDO!_Toc205885648</vt:lpstr>
      <vt:lpstr>TB_CONTENIDO!_Toc205885649</vt:lpstr>
      <vt:lpstr>TB_CONTENIDO!_Toc205885655</vt:lpstr>
      <vt:lpstr>TB_CONTENIDO!_Toc205885662</vt:lpstr>
      <vt:lpstr>TB_CONTENIDO!_Toc205885669</vt:lpstr>
      <vt:lpstr>TB_CONTENIDO!_Toc205885682</vt:lpstr>
      <vt:lpstr>TB_CONTENIDO!_Toc205885692</vt:lpstr>
      <vt:lpstr>TB_CONTENIDO!_Toc205885693</vt:lpstr>
      <vt:lpstr>TB_CONTENIDO!_Toc205885704</vt:lpstr>
      <vt:lpstr>TB_CONTENIDO!_Toc205885705</vt:lpstr>
      <vt:lpstr>TB_CONTENIDO!_Toc205885706</vt:lpstr>
      <vt:lpstr>TB_CONTENIDO!_Toc205885707</vt:lpstr>
      <vt:lpstr>TB_CONTENIDO!_Toc205885709</vt:lpstr>
      <vt:lpstr>TB_CONTENIDO!_Toc205885714</vt:lpstr>
      <vt:lpstr>TB_CONTENIDO!_Toc219794295</vt:lpstr>
      <vt:lpstr>TB_CONTENIDO!_Toc219794300</vt:lpstr>
      <vt:lpstr>TB_CONTENIDO!_Toc219794304</vt:lpstr>
      <vt:lpstr>TB_CONTENIDO!_Toc227098835</vt:lpstr>
      <vt:lpstr>TB_CONTENIDO!_Toc227098836</vt:lpstr>
      <vt:lpstr>TB_CONTENIDO!_Toc227098837</vt:lpstr>
      <vt:lpstr>TB_CONTENIDO!_Toc227098838</vt:lpstr>
      <vt:lpstr>TB_CONTENIDO!_Toc227098839</vt:lpstr>
      <vt:lpstr>TB_CONTENIDO!_Toc227098840</vt:lpstr>
      <vt:lpstr>TB_CONTENIDO!_Toc227098841</vt:lpstr>
      <vt:lpstr>TB_CONTENIDO!_Toc227098842</vt:lpstr>
      <vt:lpstr>TB_CONTENIDO!_Toc227098843</vt:lpstr>
      <vt:lpstr>TB_CONTENIDO!_Toc227098844</vt:lpstr>
      <vt:lpstr>TB_CONTENIDO!_Toc227098845</vt:lpstr>
      <vt:lpstr>TB_CONTENIDO!_Toc227098846</vt:lpstr>
      <vt:lpstr>TB_CONTENIDO!_Toc227098847</vt:lpstr>
      <vt:lpstr>TB_CONTENIDO!_Toc227098848</vt:lpstr>
      <vt:lpstr>TB_CONTENIDO!_Toc227098850</vt:lpstr>
      <vt:lpstr>TB_CONTENIDO!_Toc227098851</vt:lpstr>
      <vt:lpstr>TB_CONTENIDO!_Toc227098852</vt:lpstr>
      <vt:lpstr>TB_CONTENIDO!_Toc227098854</vt:lpstr>
      <vt:lpstr>TB_CONTENIDO!_Toc227098855</vt:lpstr>
      <vt:lpstr>TB_CONTENIDO!_Toc227098856</vt:lpstr>
      <vt:lpstr>TB_CONTENIDO!_Toc227098857</vt:lpstr>
      <vt:lpstr>TB_CONTENIDO!_Toc227098858</vt:lpstr>
      <vt:lpstr>TB_CONTENIDO!_Toc227098859</vt:lpstr>
      <vt:lpstr>TB_CONTENIDO!_Toc227098860</vt:lpstr>
      <vt:lpstr>TB_CONTENIDO!_Toc227098861</vt:lpstr>
      <vt:lpstr>TB_CONTENIDO!_Toc227098862</vt:lpstr>
      <vt:lpstr>TB_CONTENIDO!_Toc227098863</vt:lpstr>
      <vt:lpstr>TB_CONTENIDO!_Toc227098864</vt:lpstr>
      <vt:lpstr>TB_CONTENIDO!_Toc227098865</vt:lpstr>
      <vt:lpstr>TB_CONTENIDO!_Toc227098866</vt:lpstr>
      <vt:lpstr>TB_CONTENIDO!_Toc227098867</vt:lpstr>
      <vt:lpstr>TB_CONTENIDO!_Toc227098868</vt:lpstr>
      <vt:lpstr>TB_CONTENIDO!_Toc227098869</vt:lpstr>
      <vt:lpstr>TB_CONTENIDO!_Toc227098870</vt:lpstr>
      <vt:lpstr>TB_CONTENIDO!_Toc227098871</vt:lpstr>
      <vt:lpstr>TB_CONTENIDO!_Toc227098872</vt:lpstr>
      <vt:lpstr>TB_CONTENIDO!_Toc227098873</vt:lpstr>
      <vt:lpstr>TB_CONTENIDO!_Toc227098874</vt:lpstr>
      <vt:lpstr>TB_CONTENIDO!_Toc227098875</vt:lpstr>
      <vt:lpstr>TB_CONTENIDO!_Toc227098876</vt:lpstr>
      <vt:lpstr>TB_CONTENIDO!_Toc227098877</vt:lpstr>
      <vt:lpstr>TB_CONTENIDO!_Toc227098878</vt:lpstr>
      <vt:lpstr>TB_CONTENIDO!_Toc227098879</vt:lpstr>
      <vt:lpstr>TB_CONTENIDO!_Toc227098880</vt:lpstr>
      <vt:lpstr>TB_CONTENIDO!_Toc227098881</vt:lpstr>
      <vt:lpstr>TB_CONTENIDO!_Toc227098882</vt:lpstr>
      <vt:lpstr>TB_CONTENIDO!_Toc227098883</vt:lpstr>
      <vt:lpstr>TB_CONTENIDO!_Toc227098884</vt:lpstr>
      <vt:lpstr>TB_CONTENIDO!_Toc227098885</vt:lpstr>
      <vt:lpstr>TB_CONTENIDO!_Toc227098886</vt:lpstr>
      <vt:lpstr>TB_CONTENIDO!_Toc227098887</vt:lpstr>
      <vt:lpstr>TB_CONTENIDO!_Toc227098888</vt:lpstr>
      <vt:lpstr>TB_CONTENIDO!_Toc227098889</vt:lpstr>
      <vt:lpstr>TB_CONTENIDO!_Toc227098890</vt:lpstr>
      <vt:lpstr>TB_CONTENIDO!_Toc227098891</vt:lpstr>
      <vt:lpstr>TB_CONTENIDO!_Toc227098892</vt:lpstr>
      <vt:lpstr>TB_CONTENIDO!_Toc227098893</vt:lpstr>
      <vt:lpstr>TB_CONTENIDO!_Toc227098894</vt:lpstr>
      <vt:lpstr>TB_CONTENIDO!_Toc227098895</vt:lpstr>
      <vt:lpstr>TB_CONTENIDO!_Toc227098896</vt:lpstr>
      <vt:lpstr>TB_CONTENIDO!_Toc227098897</vt:lpstr>
      <vt:lpstr>TB_CONTENIDO!_Toc227098898</vt:lpstr>
      <vt:lpstr>TB_CONTENIDO!_Toc227098899</vt:lpstr>
      <vt:lpstr>TB_CONTENIDO!_Toc227098900</vt:lpstr>
      <vt:lpstr>TB_CONTENIDO!_Toc227098901</vt:lpstr>
      <vt:lpstr>TB_CONTENIDO!_Toc227098902</vt:lpstr>
      <vt:lpstr>TB_CONTENIDO!_Toc227098904</vt:lpstr>
      <vt:lpstr>TB_CONTENIDO!_Toc227098905</vt:lpstr>
      <vt:lpstr>TB_CONTENIDO!_Toc227098906</vt:lpstr>
      <vt:lpstr>TB_CONTENIDO!_Toc227098907</vt:lpstr>
      <vt:lpstr>TB_CONTENIDO!_Toc227098908</vt:lpstr>
      <vt:lpstr>TB_CONTENIDO!_Toc227098909</vt:lpstr>
      <vt:lpstr>TB_CONTENIDO!_Toc227098910</vt:lpstr>
      <vt:lpstr>TB_CONTENIDO!_Toc227098911</vt:lpstr>
      <vt:lpstr>TB_CONTENIDO!_Toc227098912</vt:lpstr>
      <vt:lpstr>TB_CONTENIDO!_Toc227098913</vt:lpstr>
      <vt:lpstr>TB_CONTENIDO!_Toc227098914</vt:lpstr>
      <vt:lpstr>TB_CONTENIDO!_Toc227098915</vt:lpstr>
      <vt:lpstr>TB_CONTENIDO!_Toc227098916</vt:lpstr>
      <vt:lpstr>TB_CONTENIDO!_Toc227098917</vt:lpstr>
      <vt:lpstr>TB_CONTENIDO!_Toc227098919</vt:lpstr>
      <vt:lpstr>TB_CONTENIDO!_Toc227098920</vt:lpstr>
      <vt:lpstr>TB_CONTENIDO!_Toc227098921</vt:lpstr>
      <vt:lpstr>TB_CONTENIDO!_Toc227098922</vt:lpstr>
      <vt:lpstr>TB_CONTENIDO!_Toc227098923</vt:lpstr>
      <vt:lpstr>TB_CONTENIDO!_Toc227098924</vt:lpstr>
      <vt:lpstr>TB_CONTENIDO!_Toc227098925</vt:lpstr>
      <vt:lpstr>TB_CONTENIDO!_Toc227098926</vt:lpstr>
      <vt:lpstr>TB_CONTENIDO!_Toc227098927</vt:lpstr>
      <vt:lpstr>TB_CONTENIDO!_Toc227098928</vt:lpstr>
      <vt:lpstr>TB_CONTENIDO!_Toc227098929</vt:lpstr>
      <vt:lpstr>TB_CONTENIDO!_Toc227098930</vt:lpstr>
      <vt:lpstr>TB_CONTENIDO!_Toc227098931</vt:lpstr>
      <vt:lpstr>TB_CONTENIDO!_Toc227098932</vt:lpstr>
      <vt:lpstr>TB_CONTENIDO!_Toc227098933</vt:lpstr>
      <vt:lpstr>TB_CONTENIDO!_Toc227098934</vt:lpstr>
      <vt:lpstr>TB_CONTENIDO!_Toc227098935</vt:lpstr>
      <vt:lpstr>TB_CONTENIDO!_Toc227098936</vt:lpstr>
      <vt:lpstr>TB_CONTENIDO!_Toc227098937</vt:lpstr>
      <vt:lpstr>TB_CONTENIDO!_Toc227098938</vt:lpstr>
      <vt:lpstr>TB_CONTENIDO!_Toc227098939</vt:lpstr>
      <vt:lpstr>TB_CONTENIDO!_Toc227098940</vt:lpstr>
      <vt:lpstr>TB_CONTENIDO!_Toc227098941</vt:lpstr>
      <vt:lpstr>TB_CONTENIDO!_Toc227098942</vt:lpstr>
      <vt:lpstr>TB_CONTENIDO!_Toc227098943</vt:lpstr>
      <vt:lpstr>TB_CONTENIDO!_Toc227098944</vt:lpstr>
      <vt:lpstr>TB_CONTENIDO!_Toc227098945</vt:lpstr>
      <vt:lpstr>TB_CONTENIDO!_Toc227098946</vt:lpstr>
      <vt:lpstr>TB_CONTENIDO!_Toc227098947</vt:lpstr>
      <vt:lpstr>TB_CONTENIDO!_Toc227098948</vt:lpstr>
      <vt:lpstr>TB_CONTENIDO!_Toc227098949</vt:lpstr>
      <vt:lpstr>TB_CONTENIDO!_Toc227098950</vt:lpstr>
      <vt:lpstr>TB_CONTENIDO!_Toc227098951</vt:lpstr>
      <vt:lpstr>TB_CONTENIDO!_Toc227098952</vt:lpstr>
      <vt:lpstr>TB_CONTENIDO!_Toc227098953</vt:lpstr>
      <vt:lpstr>TB_CONTENIDO!_Toc227098954</vt:lpstr>
      <vt:lpstr>TB_CONTENIDO!_Toc227098955</vt:lpstr>
      <vt:lpstr>TB_CONTENIDO!_Toc227098956</vt:lpstr>
      <vt:lpstr>TB_CONTENIDO!_Toc227098957</vt:lpstr>
      <vt:lpstr>TB_CONTENIDO!_Toc227098958</vt:lpstr>
      <vt:lpstr>TB_CONTENIDO!_Toc227098960</vt:lpstr>
      <vt:lpstr>TB_CONTENIDO!_Toc227098961</vt:lpstr>
      <vt:lpstr>TB_CONTENIDO!_Toc227098962</vt:lpstr>
      <vt:lpstr>TB_CONTENIDO!_Toc227098963</vt:lpstr>
      <vt:lpstr>TB_CONTENIDO!_Toc227098964</vt:lpstr>
      <vt:lpstr>TB_CONTENIDO!_Toc227098965</vt:lpstr>
      <vt:lpstr>TB_CONTENIDO!_Toc227098966</vt:lpstr>
      <vt:lpstr>TB_CONTENIDO!_Toc227098967</vt:lpstr>
      <vt:lpstr>TB_CONTENIDO!_Toc227098968</vt:lpstr>
      <vt:lpstr>TB_CONTENIDO!_Toc227098969</vt:lpstr>
      <vt:lpstr>TB_CONTENIDO!_Toc227098970</vt:lpstr>
      <vt:lpstr>TB_CONTENIDO!_Toc227098971</vt:lpstr>
      <vt:lpstr>TB_CONTENIDO!_Toc227098972</vt:lpstr>
      <vt:lpstr>TB_CONTENIDO!_Toc227098973</vt:lpstr>
      <vt:lpstr>TB_CONTENIDO!_Toc227098974</vt:lpstr>
      <vt:lpstr>TB_CONTENIDO!_Toc227098975</vt:lpstr>
      <vt:lpstr>TB_CONTENIDO!_Toc227098976</vt:lpstr>
      <vt:lpstr>TB_CONTENIDO!_Toc227098977</vt:lpstr>
      <vt:lpstr>TB_CONTENIDO!_Toc227098978</vt:lpstr>
      <vt:lpstr>TB_CONTENIDO!_Toc227098979</vt:lpstr>
      <vt:lpstr>TB_CONTENIDO!_Toc227098980</vt:lpstr>
      <vt:lpstr>TB_CONTENIDO!_Toc227098981</vt:lpstr>
      <vt:lpstr>TB_CONTENIDO!_Toc227098982</vt:lpstr>
      <vt:lpstr>TB_CONTENIDO!_Toc227098983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Ximena Silva</cp:lastModifiedBy>
  <cp:revision/>
  <dcterms:created xsi:type="dcterms:W3CDTF">2026-02-19T16:23:50Z</dcterms:created>
  <dcterms:modified xsi:type="dcterms:W3CDTF">2026-04-15T06:46:51Z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0x0101004B3553A73F55864994CAF6806DB2233B</vt:lpwstr>
  </property>
</Properties>
</file>